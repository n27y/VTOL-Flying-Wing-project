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rector\Downloads\VFS\Summer 26\VTOL Flying Wing project\BOM\"/>
    </mc:Choice>
  </mc:AlternateContent>
  <xr:revisionPtr revIDLastSave="0" documentId="13_ncr:1_{D0759BCA-3F2B-48AF-94B9-E136FE0B40C9}" xr6:coauthVersionLast="47" xr6:coauthVersionMax="47" xr10:uidLastSave="{00000000-0000-0000-0000-000000000000}"/>
  <bookViews>
    <workbookView xWindow="-103" yWindow="-103" windowWidth="27634" windowHeight="17349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E16" i="1"/>
  <c r="G11" i="1"/>
  <c r="G10" i="1"/>
  <c r="G24" i="1" s="1"/>
  <c r="G9" i="1"/>
  <c r="G8" i="1"/>
  <c r="G7" i="1"/>
</calcChain>
</file>

<file path=xl/sharedStrings.xml><?xml version="1.0" encoding="utf-8"?>
<sst xmlns="http://schemas.openxmlformats.org/spreadsheetml/2006/main" count="64" uniqueCount="49">
  <si>
    <t>Category</t>
  </si>
  <si>
    <t>Component Name</t>
  </si>
  <si>
    <t>Qty</t>
  </si>
  <si>
    <t>Weight per Unit (g)</t>
  </si>
  <si>
    <t>Total Weight (g)</t>
  </si>
  <si>
    <t>Operating Voltage</t>
  </si>
  <si>
    <t>Price</t>
  </si>
  <si>
    <t>CAD</t>
  </si>
  <si>
    <t>Power</t>
  </si>
  <si>
    <t>Pyrodrone Graphene 4500MAH 6S 120C LiPo</t>
  </si>
  <si>
    <t>6S (22.2V Nom)</t>
  </si>
  <si>
    <t>Holybro PM07 Power Management Board</t>
  </si>
  <si>
    <t>2S - 14S</t>
  </si>
  <si>
    <t>Propulsion</t>
  </si>
  <si>
    <t>KDE5215XF-435 Motor</t>
  </si>
  <si>
    <t>Up to 8S</t>
  </si>
  <si>
    <t>KDE-CF185-DP-M4 (18.5" propeller)</t>
  </si>
  <si>
    <t>N/A</t>
  </si>
  <si>
    <t>KDE Direct UAS 55A+ HVC ESC</t>
  </si>
  <si>
    <t>Actuation</t>
  </si>
  <si>
    <t>Savox SC-1256TG Titanium Gear Servo</t>
  </si>
  <si>
    <t>4.8V - 6.0V</t>
  </si>
  <si>
    <t>KST X08 V6.0 Micro Servo</t>
  </si>
  <si>
    <t>3.8V - 8.4V</t>
  </si>
  <si>
    <t>Anti-Torque</t>
  </si>
  <si>
    <t>GEPRC SPEEDX2 1404 2100KV Motor</t>
  </si>
  <si>
    <t>3S - 6S</t>
  </si>
  <si>
    <t>Gemfan 3018 3-Blade Propeller</t>
  </si>
  <si>
    <t>Flycolor X-Cross 35A 6S Mini ESC</t>
  </si>
  <si>
    <t>Avionics</t>
  </si>
  <si>
    <t>Holybro Pixhawk 6C (Plastic Case)</t>
  </si>
  <si>
    <t>5.2V</t>
  </si>
  <si>
    <t>Holybro SiK Telemetry Radio V3</t>
  </si>
  <si>
    <t>5V</t>
  </si>
  <si>
    <t>Regulators</t>
  </si>
  <si>
    <t>10A High Voltage UBEC</t>
  </si>
  <si>
    <t>Up to 6S</t>
  </si>
  <si>
    <t>Pololu 5V 9A Step-Down Voltage Regulator</t>
  </si>
  <si>
    <t>Up to 38V</t>
  </si>
  <si>
    <t>total mass</t>
  </si>
  <si>
    <t>Tools</t>
  </si>
  <si>
    <t>Bambu Lab A1 3D Printer</t>
  </si>
  <si>
    <t>Foam cutting kit</t>
  </si>
  <si>
    <t>Solder kit</t>
  </si>
  <si>
    <t>Materials</t>
  </si>
  <si>
    <t>Carbon Fiber tube</t>
  </si>
  <si>
    <t>Foam</t>
  </si>
  <si>
    <t>Total price</t>
  </si>
  <si>
    <t>Filament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</si>
</sst>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1</xdr:rowOff>
    </xdr:from>
    <xdr:to>
      <xdr:col>15</xdr:col>
      <xdr:colOff>118753</xdr:colOff>
      <xdr:row>19</xdr:row>
      <xdr:rowOff>67747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60F2D-DBD9-474A-BF56-F93019158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6520" y="197923"/>
          <a:ext cx="5462649" cy="3630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zoomScaleNormal="100" workbookViewId="0">
      <selection activeCell="B34" sqref="B34"/>
    </sheetView>
  </sheetViews>
  <sheetFormatPr defaultColWidth="12.61328125" defaultRowHeight="15.75" customHeight="1" x14ac:dyDescent="0.3"/>
  <cols>
    <col min="2" max="2" width="38.61328125" customWidth="1"/>
  </cols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1" t="s">
        <v>8</v>
      </c>
      <c r="B2" s="1" t="s">
        <v>9</v>
      </c>
      <c r="C2" s="1">
        <v>1</v>
      </c>
      <c r="D2" s="1">
        <v>690</v>
      </c>
      <c r="E2" s="1">
        <v>690</v>
      </c>
      <c r="F2" s="1" t="s">
        <v>10</v>
      </c>
      <c r="G2" s="1">
        <v>149.99</v>
      </c>
      <c r="H2" s="2"/>
    </row>
    <row r="3" spans="1:8" ht="15.75" customHeight="1" x14ac:dyDescent="0.3">
      <c r="A3" s="1" t="s">
        <v>8</v>
      </c>
      <c r="B3" s="1" t="s">
        <v>11</v>
      </c>
      <c r="C3" s="1">
        <v>1</v>
      </c>
      <c r="D3" s="1">
        <v>43.8</v>
      </c>
      <c r="E3" s="1">
        <v>43.8</v>
      </c>
      <c r="F3" s="1" t="s">
        <v>12</v>
      </c>
      <c r="G3" s="1">
        <v>43.99</v>
      </c>
      <c r="H3" s="2"/>
    </row>
    <row r="4" spans="1:8" ht="15.75" customHeight="1" x14ac:dyDescent="0.3">
      <c r="A4" s="1" t="s">
        <v>13</v>
      </c>
      <c r="B4" s="1" t="s">
        <v>14</v>
      </c>
      <c r="C4" s="1">
        <v>1</v>
      </c>
      <c r="D4" s="1">
        <v>190</v>
      </c>
      <c r="E4" s="1">
        <v>250</v>
      </c>
      <c r="F4" s="1" t="s">
        <v>15</v>
      </c>
      <c r="G4" s="1">
        <v>260</v>
      </c>
      <c r="H4" s="2"/>
    </row>
    <row r="5" spans="1:8" ht="15.75" customHeight="1" x14ac:dyDescent="0.3">
      <c r="A5" s="1" t="s">
        <v>13</v>
      </c>
      <c r="B5" s="1" t="s">
        <v>16</v>
      </c>
      <c r="C5" s="1">
        <v>1</v>
      </c>
      <c r="D5" s="1">
        <v>250</v>
      </c>
      <c r="E5" s="1">
        <v>35</v>
      </c>
      <c r="F5" s="1" t="s">
        <v>17</v>
      </c>
      <c r="G5" s="1">
        <v>170</v>
      </c>
      <c r="H5" s="2"/>
    </row>
    <row r="6" spans="1:8" ht="15.75" customHeight="1" x14ac:dyDescent="0.3">
      <c r="A6" s="1" t="s">
        <v>13</v>
      </c>
      <c r="B6" s="1" t="s">
        <v>18</v>
      </c>
      <c r="C6" s="1">
        <v>1</v>
      </c>
      <c r="D6" s="1">
        <v>55</v>
      </c>
      <c r="E6" s="1">
        <v>55</v>
      </c>
      <c r="F6" s="1" t="s">
        <v>15</v>
      </c>
      <c r="G6" s="1">
        <v>180</v>
      </c>
      <c r="H6" s="2"/>
    </row>
    <row r="7" spans="1:8" ht="15.75" customHeight="1" x14ac:dyDescent="0.3">
      <c r="A7" s="1" t="s">
        <v>19</v>
      </c>
      <c r="B7" s="1" t="s">
        <v>20</v>
      </c>
      <c r="C7" s="1">
        <v>2</v>
      </c>
      <c r="D7" s="1">
        <v>52.4</v>
      </c>
      <c r="E7" s="1">
        <v>104.8</v>
      </c>
      <c r="F7" s="1" t="s">
        <v>21</v>
      </c>
      <c r="G7" s="1">
        <f>84.99*2</f>
        <v>169.98</v>
      </c>
      <c r="H7" s="2"/>
    </row>
    <row r="8" spans="1:8" ht="15.75" customHeight="1" x14ac:dyDescent="0.3">
      <c r="A8" s="1" t="s">
        <v>19</v>
      </c>
      <c r="B8" s="1" t="s">
        <v>22</v>
      </c>
      <c r="C8" s="1">
        <v>4</v>
      </c>
      <c r="D8" s="1">
        <v>9</v>
      </c>
      <c r="E8" s="1">
        <v>36</v>
      </c>
      <c r="F8" s="1" t="s">
        <v>23</v>
      </c>
      <c r="G8" s="1">
        <f>41.99 *4</f>
        <v>167.96</v>
      </c>
      <c r="H8" s="2"/>
    </row>
    <row r="9" spans="1:8" ht="15.75" customHeight="1" x14ac:dyDescent="0.3">
      <c r="A9" s="1" t="s">
        <v>24</v>
      </c>
      <c r="B9" s="1" t="s">
        <v>25</v>
      </c>
      <c r="C9" s="1">
        <v>2</v>
      </c>
      <c r="D9" s="1">
        <v>9.6</v>
      </c>
      <c r="E9" s="1">
        <v>19.2</v>
      </c>
      <c r="F9" s="1" t="s">
        <v>26</v>
      </c>
      <c r="G9" s="1">
        <f>14.99*2</f>
        <v>29.98</v>
      </c>
      <c r="H9" s="2"/>
    </row>
    <row r="10" spans="1:8" ht="15.75" customHeight="1" x14ac:dyDescent="0.3">
      <c r="A10" s="1" t="s">
        <v>24</v>
      </c>
      <c r="B10" s="1" t="s">
        <v>27</v>
      </c>
      <c r="C10" s="1">
        <v>2</v>
      </c>
      <c r="D10" s="1">
        <v>1.2</v>
      </c>
      <c r="E10" s="1">
        <v>2.4</v>
      </c>
      <c r="F10" s="1" t="s">
        <v>17</v>
      </c>
      <c r="G10" s="1">
        <f>5.99*2</f>
        <v>11.98</v>
      </c>
      <c r="H10" s="3"/>
    </row>
    <row r="11" spans="1:8" ht="15.75" customHeight="1" x14ac:dyDescent="0.3">
      <c r="A11" s="1" t="s">
        <v>24</v>
      </c>
      <c r="B11" s="1" t="s">
        <v>28</v>
      </c>
      <c r="C11" s="1">
        <v>2</v>
      </c>
      <c r="D11" s="1">
        <v>5</v>
      </c>
      <c r="E11" s="1">
        <v>10</v>
      </c>
      <c r="F11" s="1" t="s">
        <v>26</v>
      </c>
      <c r="G11" s="1">
        <f>13.99*2</f>
        <v>27.98</v>
      </c>
      <c r="H11" s="3"/>
    </row>
    <row r="12" spans="1:8" ht="15.75" customHeight="1" x14ac:dyDescent="0.3">
      <c r="A12" s="1" t="s">
        <v>29</v>
      </c>
      <c r="B12" s="1" t="s">
        <v>30</v>
      </c>
      <c r="C12" s="1">
        <v>1</v>
      </c>
      <c r="D12" s="1">
        <v>34.6</v>
      </c>
      <c r="E12" s="1">
        <v>34.6</v>
      </c>
      <c r="F12" s="1" t="s">
        <v>31</v>
      </c>
      <c r="G12" s="1">
        <v>165.99</v>
      </c>
      <c r="H12" s="2"/>
    </row>
    <row r="13" spans="1:8" ht="15.75" customHeight="1" x14ac:dyDescent="0.3">
      <c r="A13" s="1" t="s">
        <v>29</v>
      </c>
      <c r="B13" s="1" t="s">
        <v>32</v>
      </c>
      <c r="C13" s="1">
        <v>1</v>
      </c>
      <c r="D13" s="1">
        <v>67</v>
      </c>
      <c r="E13" s="1">
        <v>67</v>
      </c>
      <c r="F13" s="1" t="s">
        <v>33</v>
      </c>
      <c r="G13" s="1">
        <v>58.99</v>
      </c>
      <c r="H13" s="2"/>
    </row>
    <row r="14" spans="1:8" ht="15.75" customHeight="1" x14ac:dyDescent="0.3">
      <c r="A14" s="1" t="s">
        <v>34</v>
      </c>
      <c r="B14" s="1" t="s">
        <v>35</v>
      </c>
      <c r="C14" s="1">
        <v>1</v>
      </c>
      <c r="D14" s="1">
        <v>14</v>
      </c>
      <c r="E14" s="1">
        <v>14</v>
      </c>
      <c r="F14" s="1" t="s">
        <v>36</v>
      </c>
      <c r="G14" s="1">
        <v>38.99</v>
      </c>
      <c r="H14" s="3"/>
    </row>
    <row r="15" spans="1:8" ht="15.75" customHeight="1" x14ac:dyDescent="0.3">
      <c r="A15" s="1" t="s">
        <v>34</v>
      </c>
      <c r="B15" s="1" t="s">
        <v>37</v>
      </c>
      <c r="C15" s="1">
        <v>1</v>
      </c>
      <c r="D15" s="1">
        <v>10</v>
      </c>
      <c r="E15" s="1">
        <v>10</v>
      </c>
      <c r="F15" s="1" t="s">
        <v>38</v>
      </c>
      <c r="G15" s="1">
        <v>36.82</v>
      </c>
      <c r="H15" s="2"/>
    </row>
    <row r="16" spans="1:8" ht="15.75" customHeight="1" x14ac:dyDescent="0.3">
      <c r="D16" s="1" t="s">
        <v>39</v>
      </c>
      <c r="E16" s="4">
        <f>SUM(E2:E15)</f>
        <v>1371.8</v>
      </c>
    </row>
    <row r="17" spans="1:7" ht="15.75" customHeight="1" x14ac:dyDescent="0.3">
      <c r="A17" s="1" t="s">
        <v>40</v>
      </c>
      <c r="B17" s="1" t="s">
        <v>41</v>
      </c>
      <c r="C17" s="1">
        <v>1</v>
      </c>
      <c r="G17" s="1">
        <v>379</v>
      </c>
    </row>
    <row r="18" spans="1:7" ht="15.75" customHeight="1" x14ac:dyDescent="0.3">
      <c r="A18" s="1" t="s">
        <v>40</v>
      </c>
      <c r="B18" s="1" t="s">
        <v>42</v>
      </c>
      <c r="C18" s="1">
        <v>1</v>
      </c>
      <c r="G18" s="1">
        <v>29.99</v>
      </c>
    </row>
    <row r="19" spans="1:7" ht="15.75" customHeight="1" x14ac:dyDescent="0.3">
      <c r="A19" s="1" t="s">
        <v>40</v>
      </c>
      <c r="B19" s="1" t="s">
        <v>43</v>
      </c>
      <c r="C19" s="1">
        <v>1</v>
      </c>
      <c r="G19" s="1">
        <v>10</v>
      </c>
    </row>
    <row r="20" spans="1:7" ht="15.75" customHeight="1" x14ac:dyDescent="0.3">
      <c r="A20" s="1" t="s">
        <v>44</v>
      </c>
      <c r="B20" s="1" t="s">
        <v>48</v>
      </c>
      <c r="C20" s="1">
        <v>1</v>
      </c>
      <c r="G20" s="1">
        <v>21.99</v>
      </c>
    </row>
    <row r="21" spans="1:7" ht="15.75" customHeight="1" x14ac:dyDescent="0.3">
      <c r="A21" s="1"/>
      <c r="B21" s="1"/>
      <c r="C21" s="1"/>
      <c r="G21" s="1"/>
    </row>
    <row r="22" spans="1:7" ht="15.75" customHeight="1" x14ac:dyDescent="0.3">
      <c r="A22" s="1" t="s">
        <v>44</v>
      </c>
      <c r="B22" s="1" t="s">
        <v>45</v>
      </c>
      <c r="C22" s="1">
        <v>4</v>
      </c>
      <c r="G22" s="1">
        <f>22.99*4</f>
        <v>91.96</v>
      </c>
    </row>
    <row r="23" spans="1:7" ht="15.75" customHeight="1" x14ac:dyDescent="0.3">
      <c r="A23" s="1" t="s">
        <v>44</v>
      </c>
      <c r="B23" s="1" t="s">
        <v>46</v>
      </c>
      <c r="C23" s="1">
        <v>1</v>
      </c>
      <c r="G23" s="1">
        <v>20</v>
      </c>
    </row>
    <row r="24" spans="1:7" ht="15.75" customHeight="1" x14ac:dyDescent="0.3">
      <c r="F24" s="1" t="s">
        <v>47</v>
      </c>
      <c r="G24" s="5">
        <f>SUM(G2:G23)</f>
        <v>2065.59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Naman Yadav</cp:lastModifiedBy>
  <dcterms:modified xsi:type="dcterms:W3CDTF">2026-07-13T02:34:42Z</dcterms:modified>
</cp:coreProperties>
</file>