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filterPrivacy="1"/>
  <xr:revisionPtr revIDLastSave="0" documentId="8_{FA163533-439D-4F88-9F71-4D9298F2C7D8}" xr6:coauthVersionLast="47" xr6:coauthVersionMax="47" xr10:uidLastSave="{00000000-0000-0000-0000-000000000000}"/>
  <bookViews>
    <workbookView xWindow="-103" yWindow="-103" windowWidth="27634" windowHeight="17349" xr2:uid="{00000000-000D-0000-FFFF-FFFF00000000}"/>
  </bookViews>
  <sheets>
    <sheet name="Overall Mass Properties Data" sheetId="1" r:id="rId1"/>
    <sheet name="Per Component Data" sheetId="2" r:id="rId2"/>
    <sheet name="Warnings" sheetId="3" r:id="rId3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9" i="1" l="1"/>
  <c r="K18" i="1"/>
  <c r="K19" i="1"/>
  <c r="K20" i="1"/>
  <c r="K21" i="1"/>
  <c r="K22" i="1"/>
  <c r="K16" i="1"/>
  <c r="K17" i="1"/>
  <c r="K15" i="1"/>
  <c r="K11" i="1"/>
  <c r="K12" i="1"/>
  <c r="K10" i="1"/>
</calcChain>
</file>

<file path=xl/sharedStrings.xml><?xml version="1.0" encoding="utf-8"?>
<sst xmlns="http://schemas.openxmlformats.org/spreadsheetml/2006/main" count="715" uniqueCount="544">
  <si>
    <t>Mass Properties Report: (All positional results with respect to Displayed Part: L1_assembly.prt:  7- 2-2026  1:08)</t>
  </si>
  <si>
    <t>Component Group Used : AllComponents (Component count : 12)</t>
  </si>
  <si>
    <t>Arrangement : Arrangement 1</t>
  </si>
  <si>
    <t>Mass Properties were calculated</t>
  </si>
  <si>
    <t>Accuracy : Standard</t>
  </si>
  <si>
    <t>Root part properties:</t>
  </si>
  <si>
    <t>Density</t>
  </si>
  <si>
    <t>2.9499e-08</t>
  </si>
  <si>
    <t>kg/mm³</t>
  </si>
  <si>
    <t>Center of Mass (WCS)</t>
  </si>
  <si>
    <t>First Moments (WCS)</t>
  </si>
  <si>
    <t>Area</t>
  </si>
  <si>
    <t>2.6153e+06</t>
  </si>
  <si>
    <t>mm²</t>
  </si>
  <si>
    <t>Xcbar</t>
  </si>
  <si>
    <t>286.558</t>
  </si>
  <si>
    <t>mm</t>
  </si>
  <si>
    <t>Mxc</t>
  </si>
  <si>
    <t>256.974</t>
  </si>
  <si>
    <t>kg⋅mm</t>
  </si>
  <si>
    <t>Volume</t>
  </si>
  <si>
    <t>3.03997e+07</t>
  </si>
  <si>
    <t>mm³</t>
  </si>
  <si>
    <t>Ycbar</t>
  </si>
  <si>
    <t>0.0528</t>
  </si>
  <si>
    <t>Myc</t>
  </si>
  <si>
    <t>0.0473</t>
  </si>
  <si>
    <t>Mass</t>
  </si>
  <si>
    <t>0.8968</t>
  </si>
  <si>
    <t>kg</t>
  </si>
  <si>
    <t>Zcbar</t>
  </si>
  <si>
    <t>10.5017</t>
  </si>
  <si>
    <t>Mzc</t>
  </si>
  <si>
    <t>9.4175</t>
  </si>
  <si>
    <t>Moments of Inertia (WCS)</t>
  </si>
  <si>
    <t>Moments of Inertia (Centroidal)</t>
  </si>
  <si>
    <t>Moments of Inertia (Spherical)</t>
  </si>
  <si>
    <t>Ixxw</t>
  </si>
  <si>
    <t>549077</t>
  </si>
  <si>
    <t>kg⋅mm²</t>
  </si>
  <si>
    <t>Ixx</t>
  </si>
  <si>
    <t>548979</t>
  </si>
  <si>
    <t>559056</t>
  </si>
  <si>
    <t>Iyyw</t>
  </si>
  <si>
    <t>84016.3</t>
  </si>
  <si>
    <t>Iyy</t>
  </si>
  <si>
    <t>10279.2</t>
  </si>
  <si>
    <t>Izzw</t>
  </si>
  <si>
    <t>632493</t>
  </si>
  <si>
    <t>Izz</t>
  </si>
  <si>
    <t>558855</t>
  </si>
  <si>
    <t>Products of Inertia (WCS)</t>
  </si>
  <si>
    <t>Products of Inertia (Centroidal)</t>
  </si>
  <si>
    <t>Principal Moments of Inertia</t>
  </si>
  <si>
    <t>Pyzw</t>
  </si>
  <si>
    <t>0.3032</t>
  </si>
  <si>
    <t>Pyz</t>
  </si>
  <si>
    <t>-0.1936</t>
  </si>
  <si>
    <t>Ixxp</t>
  </si>
  <si>
    <t>558859</t>
  </si>
  <si>
    <t>Pxzw</t>
  </si>
  <si>
    <t>2480.17</t>
  </si>
  <si>
    <t>Pxz</t>
  </si>
  <si>
    <t>-218.495</t>
  </si>
  <si>
    <t>Iyyp</t>
  </si>
  <si>
    <t>548974</t>
  </si>
  <si>
    <t>Pxyw</t>
  </si>
  <si>
    <t>22.5466</t>
  </si>
  <si>
    <t>Pxy</t>
  </si>
  <si>
    <t>Izzp</t>
  </si>
  <si>
    <t>Radii of Gyration (WCS)</t>
  </si>
  <si>
    <t>Radii of Gyration (Centroidal)</t>
  </si>
  <si>
    <t>Radii of Gyration (Spherical)</t>
  </si>
  <si>
    <t>Rgxw</t>
  </si>
  <si>
    <t>782.489</t>
  </si>
  <si>
    <t>Rgx</t>
  </si>
  <si>
    <t>782.419</t>
  </si>
  <si>
    <t>789.568</t>
  </si>
  <si>
    <t>Rgyw</t>
  </si>
  <si>
    <t>306.086</t>
  </si>
  <si>
    <t>Rgy</t>
  </si>
  <si>
    <t>107.064</t>
  </si>
  <si>
    <t>Rgzw</t>
  </si>
  <si>
    <t>839.826</t>
  </si>
  <si>
    <t>Rgz</t>
  </si>
  <si>
    <t>789.425</t>
  </si>
  <si>
    <t>Principal Axes</t>
  </si>
  <si>
    <t>Xp(X)</t>
  </si>
  <si>
    <t>0.0221</t>
  </si>
  <si>
    <t>Yp(X)</t>
  </si>
  <si>
    <t>0.9998</t>
  </si>
  <si>
    <t>Zp(X)</t>
  </si>
  <si>
    <t>1.66852e-05</t>
  </si>
  <si>
    <t>Xp(Y)</t>
  </si>
  <si>
    <t>-9.32248e-09</t>
  </si>
  <si>
    <t>Yp(Y)</t>
  </si>
  <si>
    <t>-1.66891e-05</t>
  </si>
  <si>
    <t>Zp(Y)</t>
  </si>
  <si>
    <t>1</t>
  </si>
  <si>
    <t>Xp(Z)</t>
  </si>
  <si>
    <t>Yp(Z)</t>
  </si>
  <si>
    <t>-0.0221</t>
  </si>
  <si>
    <t>Zp(Z)</t>
  </si>
  <si>
    <t>-3.59634e-07</t>
  </si>
  <si>
    <t>Estimated Error Ranges (in same units)</t>
  </si>
  <si>
    <t>1524.01</t>
  </si>
  <si>
    <t>77827.7</t>
  </si>
  <si>
    <t>0.0022</t>
  </si>
  <si>
    <t>Center of Mass</t>
  </si>
  <si>
    <t>76.1823</t>
  </si>
  <si>
    <t>Inertia Values</t>
  </si>
  <si>
    <t>5763.61</t>
  </si>
  <si>
    <t>Per Component Contributions</t>
  </si>
  <si>
    <t>Component Name</t>
  </si>
  <si>
    <t>L1_assembly</t>
  </si>
  <si>
    <t>0.896761</t>
  </si>
  <si>
    <t>0.0527616</t>
  </si>
  <si>
    <t>0.0473145</t>
  </si>
  <si>
    <t>0.303242</t>
  </si>
  <si>
    <t>-0.193641</t>
  </si>
  <si>
    <t>8.98825</t>
  </si>
  <si>
    <t>0.0221074</t>
  </si>
  <si>
    <t>0.999756</t>
  </si>
  <si>
    <t>-0.0221074</t>
  </si>
  <si>
    <t xml:space="preserve">    mirror_wing_frame</t>
  </si>
  <si>
    <t>1.522e-06</t>
  </si>
  <si>
    <t>40711.4</t>
  </si>
  <si>
    <t>15250.9</t>
  </si>
  <si>
    <t>0.0232119</t>
  </si>
  <si>
    <t>286.643</t>
  </si>
  <si>
    <t>-1008.13</t>
  </si>
  <si>
    <t>2.39256</t>
  </si>
  <si>
    <t>6.65352</t>
  </si>
  <si>
    <t>-23.4006</t>
  </si>
  <si>
    <t>0.0555359</t>
  </si>
  <si>
    <t>31095</t>
  </si>
  <si>
    <t>2140.69</t>
  </si>
  <si>
    <t>33235.4</t>
  </si>
  <si>
    <t>7504.01</t>
  </si>
  <si>
    <t>233.371</t>
  </si>
  <si>
    <t>7737.32</t>
  </si>
  <si>
    <t>7737.35</t>
  </si>
  <si>
    <t>-55.9874</t>
  </si>
  <si>
    <t>15.919</t>
  </si>
  <si>
    <t>-8030.77</t>
  </si>
  <si>
    <t>2.91505e-17</t>
  </si>
  <si>
    <t>-1.65301e-16</t>
  </si>
  <si>
    <t>-1323.15</t>
  </si>
  <si>
    <t>0.0641192</t>
  </si>
  <si>
    <t>1157.42</t>
  </si>
  <si>
    <t>303.684</t>
  </si>
  <si>
    <t>1196.59</t>
  </si>
  <si>
    <t>568.58</t>
  </si>
  <si>
    <t>100.269</t>
  </si>
  <si>
    <t>577.351</t>
  </si>
  <si>
    <t>577.353</t>
  </si>
  <si>
    <t>0.984808</t>
  </si>
  <si>
    <t>0.173648</t>
  </si>
  <si>
    <t>0</t>
  </si>
  <si>
    <t>-0.984808</t>
  </si>
  <si>
    <t>-0</t>
  </si>
  <si>
    <t xml:space="preserve">    wing_frame</t>
  </si>
  <si>
    <t>1008.13</t>
  </si>
  <si>
    <t>23.4006</t>
  </si>
  <si>
    <t>55.9874</t>
  </si>
  <si>
    <t>8030.77</t>
  </si>
  <si>
    <t>-5.53884e-21</t>
  </si>
  <si>
    <t>3.14123e-20</t>
  </si>
  <si>
    <t>1323.15</t>
  </si>
  <si>
    <t>-0.173648</t>
  </si>
  <si>
    <t xml:space="preserve">    mirror_wing_middle_L1</t>
  </si>
  <si>
    <t>2.8e-08</t>
  </si>
  <si>
    <t>179328</t>
  </si>
  <si>
    <t>2.66878e+06</t>
  </si>
  <si>
    <t>0.0747259</t>
  </si>
  <si>
    <t>254.648</t>
  </si>
  <si>
    <t>221.241</t>
  </si>
  <si>
    <t>15.2652</t>
  </si>
  <si>
    <t>19.0288</t>
  </si>
  <si>
    <t>16.5324</t>
  </si>
  <si>
    <t>1.14071</t>
  </si>
  <si>
    <t>3831.44</t>
  </si>
  <si>
    <t>5776.34</t>
  </si>
  <si>
    <t>9538.87</t>
  </si>
  <si>
    <t>156.387</t>
  </si>
  <si>
    <t>913.275</t>
  </si>
  <si>
    <t>1035.58</t>
  </si>
  <si>
    <t>1052.62</t>
  </si>
  <si>
    <t>237.037</t>
  </si>
  <si>
    <t>293.675</t>
  </si>
  <si>
    <t>4219.67</t>
  </si>
  <si>
    <t>-15.3339</t>
  </si>
  <si>
    <t>3.19627</t>
  </si>
  <si>
    <t>9.72827</t>
  </si>
  <si>
    <t>1037.5</t>
  </si>
  <si>
    <t>911.495</t>
  </si>
  <si>
    <t>156.251</t>
  </si>
  <si>
    <t>226.436</t>
  </si>
  <si>
    <t>278.029</t>
  </si>
  <si>
    <t>357.283</t>
  </si>
  <si>
    <t>45.7472</t>
  </si>
  <si>
    <t>110.552</t>
  </si>
  <si>
    <t>117.722</t>
  </si>
  <si>
    <t>118.686</t>
  </si>
  <si>
    <t>-0.00495686</t>
  </si>
  <si>
    <t>0.122892</t>
  </si>
  <si>
    <t>0.992408</t>
  </si>
  <si>
    <t>-0.0122641</t>
  </si>
  <si>
    <t>0.992338</t>
  </si>
  <si>
    <t>-0.122945</t>
  </si>
  <si>
    <t>-0.999913</t>
  </si>
  <si>
    <t>-0.0127805</t>
  </si>
  <si>
    <t>-0.00341171</t>
  </si>
  <si>
    <t xml:space="preserve">    mirror_wing_tip_L1</t>
  </si>
  <si>
    <t>290321</t>
  </si>
  <si>
    <t>2.09518e+06</t>
  </si>
  <si>
    <t>0.058665</t>
  </si>
  <si>
    <t>392.641</t>
  </si>
  <si>
    <t>1568.57</t>
  </si>
  <si>
    <t>2.08217</t>
  </si>
  <si>
    <t>23.0343</t>
  </si>
  <si>
    <t>92.02</t>
  </si>
  <si>
    <t>0.122151</t>
  </si>
  <si>
    <t>147437</t>
  </si>
  <si>
    <t>9220.8</t>
  </si>
  <si>
    <t>156654</t>
  </si>
  <si>
    <t>3097.43</t>
  </si>
  <si>
    <t>176.339</t>
  </si>
  <si>
    <t>3270.14</t>
  </si>
  <si>
    <t>3271.96</t>
  </si>
  <si>
    <t>190.363</t>
  </si>
  <si>
    <t>50.154</t>
  </si>
  <si>
    <t>36621.9</t>
  </si>
  <si>
    <t>-1.23808</t>
  </si>
  <si>
    <t>2.19261</t>
  </si>
  <si>
    <t>491.111</t>
  </si>
  <si>
    <t>3270.2</t>
  </si>
  <si>
    <t>3177.73</t>
  </si>
  <si>
    <t>95.9805</t>
  </si>
  <si>
    <t>1585.31</t>
  </si>
  <si>
    <t>396.456</t>
  </si>
  <si>
    <t>1634.11</t>
  </si>
  <si>
    <t>229.78</t>
  </si>
  <si>
    <t>54.8257</t>
  </si>
  <si>
    <t>236.099</t>
  </si>
  <si>
    <t>236.164</t>
  </si>
  <si>
    <t>-0.0251904</t>
  </si>
  <si>
    <t>0.00439869</t>
  </si>
  <si>
    <t>0.999673</t>
  </si>
  <si>
    <t>0.986555</t>
  </si>
  <si>
    <t>-0.161417</t>
  </si>
  <si>
    <t>0.0255701</t>
  </si>
  <si>
    <t>0.161477</t>
  </si>
  <si>
    <t>0.986876</t>
  </si>
  <si>
    <t>-0.000273386</t>
  </si>
  <si>
    <t xml:space="preserve">    mirror_wing_middle2_L1</t>
  </si>
  <si>
    <t>253858</t>
  </si>
  <si>
    <t>3.49462e+06</t>
  </si>
  <si>
    <t>0.0978493</t>
  </si>
  <si>
    <t>271.458</t>
  </si>
  <si>
    <t>435.435</t>
  </si>
  <si>
    <t>5.8667</t>
  </si>
  <si>
    <t>26.562</t>
  </si>
  <si>
    <t>42.607</t>
  </si>
  <si>
    <t>0.574053</t>
  </si>
  <si>
    <t>19285.4</t>
  </si>
  <si>
    <t>8017.4</t>
  </si>
  <si>
    <t>27271.7</t>
  </si>
  <si>
    <t>729.434</t>
  </si>
  <si>
    <t>803.574</t>
  </si>
  <si>
    <t>1508.74</t>
  </si>
  <si>
    <t>1520.87</t>
  </si>
  <si>
    <t>245.867</t>
  </si>
  <si>
    <t>157.168</t>
  </si>
  <si>
    <t>11622.8</t>
  </si>
  <si>
    <t>-4.09597</t>
  </si>
  <si>
    <t>1.33712</t>
  </si>
  <si>
    <t>56.7679</t>
  </si>
  <si>
    <t>1508.76</t>
  </si>
  <si>
    <t>834.277</t>
  </si>
  <si>
    <t>698.704</t>
  </si>
  <si>
    <t>443.951</t>
  </si>
  <si>
    <t>286.245</t>
  </si>
  <si>
    <t>527.932</t>
  </si>
  <si>
    <t>86.3404</t>
  </si>
  <si>
    <t>90.6221</t>
  </si>
  <si>
    <t>124.173</t>
  </si>
  <si>
    <t>124.672</t>
  </si>
  <si>
    <t>-0.00215139</t>
  </si>
  <si>
    <t>0.00598139</t>
  </si>
  <si>
    <t>0.99998</t>
  </si>
  <si>
    <t>-0.476069</t>
  </si>
  <si>
    <t>0.879386</t>
  </si>
  <si>
    <t>-0.00628429</t>
  </si>
  <si>
    <t>-0.879406</t>
  </si>
  <si>
    <t>-0.476072</t>
  </si>
  <si>
    <t>0.000955654</t>
  </si>
  <si>
    <t xml:space="preserve">    mirror_wind_middle3_L1</t>
  </si>
  <si>
    <t>330472</t>
  </si>
  <si>
    <t>3.39376e+06</t>
  </si>
  <si>
    <t>0.0950252</t>
  </si>
  <si>
    <t>305.503</t>
  </si>
  <si>
    <t>854.647</t>
  </si>
  <si>
    <t>3.77618</t>
  </si>
  <si>
    <t>29.0305</t>
  </si>
  <si>
    <t>81.213</t>
  </si>
  <si>
    <t>0.358832</t>
  </si>
  <si>
    <t>72111.6</t>
  </si>
  <si>
    <t>9280.15</t>
  </si>
  <si>
    <t>81377.1</t>
  </si>
  <si>
    <t>2701.79</t>
  </si>
  <si>
    <t>409.876</t>
  </si>
  <si>
    <t>3099.71</t>
  </si>
  <si>
    <t>3105.69</t>
  </si>
  <si>
    <t>294.328</t>
  </si>
  <si>
    <t>112.014</t>
  </si>
  <si>
    <t>25033.5</t>
  </si>
  <si>
    <t>-12.3467</t>
  </si>
  <si>
    <t>2.38925</t>
  </si>
  <si>
    <t>222.649</t>
  </si>
  <si>
    <t>3099.8</t>
  </si>
  <si>
    <t>2723.19</t>
  </si>
  <si>
    <t>388.394</t>
  </si>
  <si>
    <t>871.131</t>
  </si>
  <si>
    <t>312.506</t>
  </si>
  <si>
    <t>925.405</t>
  </si>
  <si>
    <t>168.619</t>
  </si>
  <si>
    <t>65.6761</t>
  </si>
  <si>
    <t>180.61</t>
  </si>
  <si>
    <t>180.784</t>
  </si>
  <si>
    <t>-0.00898626</t>
  </si>
  <si>
    <t>0.00533354</t>
  </si>
  <si>
    <t>0.999945</t>
  </si>
  <si>
    <t>0.995361</t>
  </si>
  <si>
    <t>-0.0957499</t>
  </si>
  <si>
    <t>0.00945577</t>
  </si>
  <si>
    <t>0.0957951</t>
  </si>
  <si>
    <t>0.995391</t>
  </si>
  <si>
    <t>-0.00444836</t>
  </si>
  <si>
    <t xml:space="preserve">    wing_tip_L1</t>
  </si>
  <si>
    <t>290323</t>
  </si>
  <si>
    <t>2.09544e+06</t>
  </si>
  <si>
    <t>0.0586725</t>
  </si>
  <si>
    <t>392.632</t>
  </si>
  <si>
    <t>-1568.55</t>
  </si>
  <si>
    <t>2.08342</t>
  </si>
  <si>
    <t>23.0367</t>
  </si>
  <si>
    <t>-92.0306</t>
  </si>
  <si>
    <t>0.122239</t>
  </si>
  <si>
    <t>147453</t>
  </si>
  <si>
    <t>9221.55</t>
  </si>
  <si>
    <t>156670</t>
  </si>
  <si>
    <t>3098.07</t>
  </si>
  <si>
    <t>176.355</t>
  </si>
  <si>
    <t>3270.81</t>
  </si>
  <si>
    <t>3272.62</t>
  </si>
  <si>
    <t>-190.464</t>
  </si>
  <si>
    <t>50.1789</t>
  </si>
  <si>
    <t>-36625.4</t>
  </si>
  <si>
    <t>1.2742</t>
  </si>
  <si>
    <t>2.18376</t>
  </si>
  <si>
    <t>-491.207</t>
  </si>
  <si>
    <t>3270.87</t>
  </si>
  <si>
    <t>3178.38</t>
  </si>
  <si>
    <t>95.9821</t>
  </si>
  <si>
    <t>1585.29</t>
  </si>
  <si>
    <t>396.447</t>
  </si>
  <si>
    <t>1634.09</t>
  </si>
  <si>
    <t>229.789</t>
  </si>
  <si>
    <t>54.8247</t>
  </si>
  <si>
    <t>236.108</t>
  </si>
  <si>
    <t>236.173</t>
  </si>
  <si>
    <t>-0.0251534</t>
  </si>
  <si>
    <t>-0.00440435</t>
  </si>
  <si>
    <t>0.999674</t>
  </si>
  <si>
    <t>0.986556</t>
  </si>
  <si>
    <t>0.161415</t>
  </si>
  <si>
    <t>0.0255345</t>
  </si>
  <si>
    <t>-0.161474</t>
  </si>
  <si>
    <t>0.986877</t>
  </si>
  <si>
    <t>0.000285009</t>
  </si>
  <si>
    <t xml:space="preserve">    wind_middle3_L1</t>
  </si>
  <si>
    <t>330462</t>
  </si>
  <si>
    <t>3.39266e+06</t>
  </si>
  <si>
    <t>0.0949945</t>
  </si>
  <si>
    <t>305.483</t>
  </si>
  <si>
    <t>-854.651</t>
  </si>
  <si>
    <t>3.77277</t>
  </si>
  <si>
    <t>29.0192</t>
  </si>
  <si>
    <t>-81.1871</t>
  </si>
  <si>
    <t>0.358392</t>
  </si>
  <si>
    <t>72089.1</t>
  </si>
  <si>
    <t>9275.7</t>
  </si>
  <si>
    <t>81350.2</t>
  </si>
  <si>
    <t>2701.12</t>
  </si>
  <si>
    <t>409.5</t>
  </si>
  <si>
    <t>3098.7</t>
  </si>
  <si>
    <t>3104.66</t>
  </si>
  <si>
    <t>-294.048</t>
  </si>
  <si>
    <t>111.928</t>
  </si>
  <si>
    <t>-25023.9</t>
  </si>
  <si>
    <t>12.2526</t>
  </si>
  <si>
    <t>2.44499</t>
  </si>
  <si>
    <t>-222.603</t>
  </si>
  <si>
    <t>3098.79</t>
  </si>
  <si>
    <t>2722.51</t>
  </si>
  <si>
    <t>388.025</t>
  </si>
  <si>
    <t>871.135</t>
  </si>
  <si>
    <t>312.481</t>
  </si>
  <si>
    <t>925.401</t>
  </si>
  <si>
    <t>168.625</t>
  </si>
  <si>
    <t>65.6565</t>
  </si>
  <si>
    <t>180.609</t>
  </si>
  <si>
    <t>180.783</t>
  </si>
  <si>
    <t>-0.00912074</t>
  </si>
  <si>
    <t>-0.00531077</t>
  </si>
  <si>
    <t>0.999944</t>
  </si>
  <si>
    <t>0.99536</t>
  </si>
  <si>
    <t>0.0957424</t>
  </si>
  <si>
    <t>0.00958742</t>
  </si>
  <si>
    <t>-0.095788</t>
  </si>
  <si>
    <t>0.995392</t>
  </si>
  <si>
    <t>0.00441289</t>
  </si>
  <si>
    <t xml:space="preserve">    wing_middle2_L1</t>
  </si>
  <si>
    <t>253857</t>
  </si>
  <si>
    <t>3.49468e+06</t>
  </si>
  <si>
    <t>0.0978509</t>
  </si>
  <si>
    <t>271.438</t>
  </si>
  <si>
    <t>-435.443</t>
  </si>
  <si>
    <t>5.86688</t>
  </si>
  <si>
    <t>26.5605</t>
  </si>
  <si>
    <t>-42.6085</t>
  </si>
  <si>
    <t>0.574079</t>
  </si>
  <si>
    <t>19286.3</t>
  </si>
  <si>
    <t>8016.53</t>
  </si>
  <si>
    <t>27271.8</t>
  </si>
  <si>
    <t>729.391</t>
  </si>
  <si>
    <t>803.625</t>
  </si>
  <si>
    <t>1508.75</t>
  </si>
  <si>
    <t>1520.88</t>
  </si>
  <si>
    <t>-245.897</t>
  </si>
  <si>
    <t>157.191</t>
  </si>
  <si>
    <t>-11622.4</t>
  </si>
  <si>
    <t>4.08138</t>
  </si>
  <si>
    <t>1.36411</t>
  </si>
  <si>
    <t>-56.783</t>
  </si>
  <si>
    <t>1508.77</t>
  </si>
  <si>
    <t>834.319</t>
  </si>
  <si>
    <t>698.669</t>
  </si>
  <si>
    <t>443.958</t>
  </si>
  <si>
    <t>286.227</t>
  </si>
  <si>
    <t>527.928</t>
  </si>
  <si>
    <t>86.3371</t>
  </si>
  <si>
    <t>90.6242</t>
  </si>
  <si>
    <t>124.671</t>
  </si>
  <si>
    <t>-0.00218471</t>
  </si>
  <si>
    <t>-0.00596379</t>
  </si>
  <si>
    <t>0.475864</t>
  </si>
  <si>
    <t>0.879496</t>
  </si>
  <si>
    <t>0.00628488</t>
  </si>
  <si>
    <t>-0.879516</t>
  </si>
  <si>
    <t>0.475868</t>
  </si>
  <si>
    <t>0.000916509</t>
  </si>
  <si>
    <t xml:space="preserve">    wing_middle_L1</t>
  </si>
  <si>
    <t>179337</t>
  </si>
  <si>
    <t>2.66307e+06</t>
  </si>
  <si>
    <t>0.0745658</t>
  </si>
  <si>
    <t>254.16</t>
  </si>
  <si>
    <t>-221.26</t>
  </si>
  <si>
    <t>15.288</t>
  </si>
  <si>
    <t>18.9517</t>
  </si>
  <si>
    <t>-16.4984</t>
  </si>
  <si>
    <t>1.13996</t>
  </si>
  <si>
    <t>3824.18</t>
  </si>
  <si>
    <t>5739.42</t>
  </si>
  <si>
    <t>9494.54</t>
  </si>
  <si>
    <t>156.304</t>
  </si>
  <si>
    <t>905.24</t>
  </si>
  <si>
    <t>1027.34</t>
  </si>
  <si>
    <t>1044.44</t>
  </si>
  <si>
    <t>-236.847</t>
  </si>
  <si>
    <t>293.501</t>
  </si>
  <si>
    <t>-4203.58</t>
  </si>
  <si>
    <t>15.3806</t>
  </si>
  <si>
    <t>3.76893</t>
  </si>
  <si>
    <t>-10.3356</t>
  </si>
  <si>
    <t>1029.27</t>
  </si>
  <si>
    <t>903.461</t>
  </si>
  <si>
    <t>156.147</t>
  </si>
  <si>
    <t>226.464</t>
  </si>
  <si>
    <t>277.437</t>
  </si>
  <si>
    <t>356.835</t>
  </si>
  <si>
    <t>45.7841</t>
  </si>
  <si>
    <t>110.182</t>
  </si>
  <si>
    <t>117.378</t>
  </si>
  <si>
    <t>118.351</t>
  </si>
  <si>
    <t>-0.00574677</t>
  </si>
  <si>
    <t>-0.12353</t>
  </si>
  <si>
    <t>0.992324</t>
  </si>
  <si>
    <t>0.0131026</t>
  </si>
  <si>
    <t>0.992246</t>
  </si>
  <si>
    <t>0.123596</t>
  </si>
  <si>
    <t>-0.999898</t>
  </si>
  <si>
    <t>0.0137123</t>
  </si>
  <si>
    <t>-0.00408365</t>
  </si>
  <si>
    <t xml:space="preserve">    wing_core_L1</t>
  </si>
  <si>
    <t>425922</t>
  </si>
  <si>
    <t>7.07102e+06</t>
  </si>
  <si>
    <t>0.197988</t>
  </si>
  <si>
    <t>244.68</t>
  </si>
  <si>
    <t>-0.00177116</t>
  </si>
  <si>
    <t>24.8298</t>
  </si>
  <si>
    <t>48.4437</t>
  </si>
  <si>
    <t>-0.000350669</t>
  </si>
  <si>
    <t>4.91602</t>
  </si>
  <si>
    <t>1569.56</t>
  </si>
  <si>
    <t>15187</t>
  </si>
  <si>
    <t>16393.8</t>
  </si>
  <si>
    <t>1447.5</t>
  </si>
  <si>
    <t>3211.74</t>
  </si>
  <si>
    <t>4540.6</t>
  </si>
  <si>
    <t>4599.92</t>
  </si>
  <si>
    <t>-0.0353937</t>
  </si>
  <si>
    <t>1222.52</t>
  </si>
  <si>
    <t>-0.152781</t>
  </si>
  <si>
    <t>-0.0266867</t>
  </si>
  <si>
    <t>19.6707</t>
  </si>
  <si>
    <t>-0.0669794</t>
  </si>
  <si>
    <t>4540.73</t>
  </si>
  <si>
    <t>1447.37</t>
  </si>
  <si>
    <t>89.0368</t>
  </si>
  <si>
    <t>276.959</t>
  </si>
  <si>
    <t>287.753</t>
  </si>
  <si>
    <t>85.5046</t>
  </si>
  <si>
    <t>127.365</t>
  </si>
  <si>
    <t>151.439</t>
  </si>
  <si>
    <t>152.425</t>
  </si>
  <si>
    <t>-0.00635916</t>
  </si>
  <si>
    <t>1.97596e-05</t>
  </si>
  <si>
    <t>3.81827e-05</t>
  </si>
  <si>
    <t>-1.95171e-05</t>
  </si>
  <si>
    <t>-0.99998</t>
  </si>
  <si>
    <t>3.80578e-05</t>
  </si>
  <si>
    <t>Warnings Generated by the Mass Property Calculation: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</si>
</sst>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0"/>
  <sheetViews>
    <sheetView tabSelected="1" workbookViewId="0">
      <selection activeCell="M18" sqref="M18"/>
    </sheetView>
  </sheetViews>
  <sheetFormatPr defaultRowHeight="14.6" x14ac:dyDescent="0.4"/>
  <sheetData>
    <row r="1" spans="1:11" x14ac:dyDescent="0.4">
      <c r="A1" t="s">
        <v>0</v>
      </c>
    </row>
    <row r="2" spans="1:11" x14ac:dyDescent="0.4">
      <c r="A2" t="s">
        <v>1</v>
      </c>
    </row>
    <row r="3" spans="1:11" x14ac:dyDescent="0.4">
      <c r="A3" t="s">
        <v>2</v>
      </c>
    </row>
    <row r="4" spans="1:11" x14ac:dyDescent="0.4">
      <c r="A4" t="s">
        <v>3</v>
      </c>
    </row>
    <row r="5" spans="1:11" x14ac:dyDescent="0.4">
      <c r="A5" t="s">
        <v>4</v>
      </c>
    </row>
    <row r="7" spans="1:11" x14ac:dyDescent="0.4">
      <c r="A7" t="s">
        <v>5</v>
      </c>
    </row>
    <row r="9" spans="1:11" x14ac:dyDescent="0.4">
      <c r="A9" t="s">
        <v>6</v>
      </c>
      <c r="B9" t="s">
        <v>7</v>
      </c>
      <c r="C9" t="s">
        <v>8</v>
      </c>
      <c r="D9" t="s">
        <v>9</v>
      </c>
      <c r="G9" t="s">
        <v>10</v>
      </c>
      <c r="K9">
        <f>B9*10^9</f>
        <v>29.499000000000002</v>
      </c>
    </row>
    <row r="10" spans="1:11" x14ac:dyDescent="0.4">
      <c r="A10" t="s">
        <v>11</v>
      </c>
      <c r="B10" t="s">
        <v>12</v>
      </c>
      <c r="C10" t="s">
        <v>13</v>
      </c>
      <c r="D10" t="s">
        <v>14</v>
      </c>
      <c r="E10">
        <v>286.55799999999999</v>
      </c>
      <c r="F10" t="s">
        <v>16</v>
      </c>
      <c r="G10" t="s">
        <v>17</v>
      </c>
      <c r="H10" t="s">
        <v>18</v>
      </c>
      <c r="I10" t="s">
        <v>19</v>
      </c>
      <c r="K10">
        <f>E10/1000</f>
        <v>0.28655799999999998</v>
      </c>
    </row>
    <row r="11" spans="1:11" x14ac:dyDescent="0.4">
      <c r="A11" t="s">
        <v>20</v>
      </c>
      <c r="B11" t="s">
        <v>21</v>
      </c>
      <c r="C11" t="s">
        <v>22</v>
      </c>
      <c r="D11" t="s">
        <v>23</v>
      </c>
      <c r="E11" t="s">
        <v>24</v>
      </c>
      <c r="F11" t="s">
        <v>16</v>
      </c>
      <c r="G11" t="s">
        <v>25</v>
      </c>
      <c r="H11" t="s">
        <v>26</v>
      </c>
      <c r="I11" t="s">
        <v>19</v>
      </c>
      <c r="K11">
        <f>E11/1000</f>
        <v>5.2800000000000003E-5</v>
      </c>
    </row>
    <row r="12" spans="1:11" x14ac:dyDescent="0.4">
      <c r="A12" t="s">
        <v>27</v>
      </c>
      <c r="B12" t="s">
        <v>28</v>
      </c>
      <c r="C12" t="s">
        <v>29</v>
      </c>
      <c r="D12" t="s">
        <v>30</v>
      </c>
      <c r="E12" t="s">
        <v>31</v>
      </c>
      <c r="F12" t="s">
        <v>16</v>
      </c>
      <c r="G12" t="s">
        <v>32</v>
      </c>
      <c r="H12" t="s">
        <v>33</v>
      </c>
      <c r="I12" t="s">
        <v>19</v>
      </c>
      <c r="K12">
        <f>E12/1000</f>
        <v>1.0501699999999999E-2</v>
      </c>
    </row>
    <row r="14" spans="1:11" x14ac:dyDescent="0.4">
      <c r="A14" t="s">
        <v>34</v>
      </c>
      <c r="D14" t="s">
        <v>35</v>
      </c>
      <c r="G14" t="s">
        <v>36</v>
      </c>
    </row>
    <row r="15" spans="1:11" x14ac:dyDescent="0.4">
      <c r="A15" t="s">
        <v>37</v>
      </c>
      <c r="B15" t="s">
        <v>38</v>
      </c>
      <c r="C15" t="s">
        <v>39</v>
      </c>
      <c r="D15" t="s">
        <v>40</v>
      </c>
      <c r="E15">
        <v>548979</v>
      </c>
      <c r="F15" t="s">
        <v>39</v>
      </c>
      <c r="H15" t="s">
        <v>42</v>
      </c>
      <c r="I15" t="s">
        <v>39</v>
      </c>
      <c r="K15">
        <f>E15 *10^(-6)</f>
        <v>0.54897899999999999</v>
      </c>
    </row>
    <row r="16" spans="1:11" x14ac:dyDescent="0.4">
      <c r="A16" t="s">
        <v>43</v>
      </c>
      <c r="B16" t="s">
        <v>44</v>
      </c>
      <c r="C16" t="s">
        <v>39</v>
      </c>
      <c r="D16" t="s">
        <v>45</v>
      </c>
      <c r="E16">
        <v>10279.200000000001</v>
      </c>
      <c r="F16" t="s">
        <v>39</v>
      </c>
      <c r="K16">
        <f t="shared" ref="K16:K22" si="0">E16 *10^(-6)</f>
        <v>1.02792E-2</v>
      </c>
    </row>
    <row r="17" spans="1:11" x14ac:dyDescent="0.4">
      <c r="A17" t="s">
        <v>47</v>
      </c>
      <c r="B17" t="s">
        <v>48</v>
      </c>
      <c r="C17" t="s">
        <v>39</v>
      </c>
      <c r="D17" t="s">
        <v>49</v>
      </c>
      <c r="E17">
        <v>558855</v>
      </c>
      <c r="F17" t="s">
        <v>39</v>
      </c>
      <c r="K17">
        <f t="shared" si="0"/>
        <v>0.55885499999999999</v>
      </c>
    </row>
    <row r="18" spans="1:11" x14ac:dyDescent="0.4">
      <c r="K18">
        <f t="shared" si="0"/>
        <v>0</v>
      </c>
    </row>
    <row r="19" spans="1:11" x14ac:dyDescent="0.4">
      <c r="A19" t="s">
        <v>51</v>
      </c>
      <c r="D19" t="s">
        <v>52</v>
      </c>
      <c r="G19" t="s">
        <v>53</v>
      </c>
      <c r="K19">
        <f t="shared" si="0"/>
        <v>0</v>
      </c>
    </row>
    <row r="20" spans="1:11" x14ac:dyDescent="0.4">
      <c r="A20" t="s">
        <v>54</v>
      </c>
      <c r="B20" t="s">
        <v>55</v>
      </c>
      <c r="C20" t="s">
        <v>39</v>
      </c>
      <c r="D20" t="s">
        <v>56</v>
      </c>
      <c r="E20" t="s">
        <v>57</v>
      </c>
      <c r="F20" t="s">
        <v>39</v>
      </c>
      <c r="G20" t="s">
        <v>58</v>
      </c>
      <c r="H20" t="s">
        <v>59</v>
      </c>
      <c r="I20" t="s">
        <v>39</v>
      </c>
      <c r="K20">
        <f t="shared" si="0"/>
        <v>-1.9359999999999999E-7</v>
      </c>
    </row>
    <row r="21" spans="1:11" x14ac:dyDescent="0.4">
      <c r="A21" t="s">
        <v>60</v>
      </c>
      <c r="B21" t="s">
        <v>61</v>
      </c>
      <c r="C21" t="s">
        <v>39</v>
      </c>
      <c r="D21" t="s">
        <v>62</v>
      </c>
      <c r="E21" t="s">
        <v>63</v>
      </c>
      <c r="F21" t="s">
        <v>39</v>
      </c>
      <c r="G21" t="s">
        <v>64</v>
      </c>
      <c r="H21" t="s">
        <v>65</v>
      </c>
      <c r="I21" t="s">
        <v>39</v>
      </c>
      <c r="K21">
        <f t="shared" si="0"/>
        <v>-2.18495E-4</v>
      </c>
    </row>
    <row r="22" spans="1:11" x14ac:dyDescent="0.4">
      <c r="A22" t="s">
        <v>66</v>
      </c>
      <c r="B22" t="s">
        <v>67</v>
      </c>
      <c r="C22" t="s">
        <v>39</v>
      </c>
      <c r="D22" t="s">
        <v>68</v>
      </c>
      <c r="E22">
        <v>8.9883000000000006</v>
      </c>
      <c r="F22" t="s">
        <v>39</v>
      </c>
      <c r="G22" t="s">
        <v>69</v>
      </c>
      <c r="H22" t="s">
        <v>46</v>
      </c>
      <c r="I22" t="s">
        <v>39</v>
      </c>
      <c r="K22">
        <f t="shared" si="0"/>
        <v>8.9883E-6</v>
      </c>
    </row>
    <row r="24" spans="1:11" x14ac:dyDescent="0.4">
      <c r="A24" t="s">
        <v>70</v>
      </c>
      <c r="D24" t="s">
        <v>71</v>
      </c>
      <c r="G24" t="s">
        <v>72</v>
      </c>
    </row>
    <row r="25" spans="1:11" x14ac:dyDescent="0.4">
      <c r="A25" t="s">
        <v>73</v>
      </c>
      <c r="B25" t="s">
        <v>74</v>
      </c>
      <c r="C25" t="s">
        <v>16</v>
      </c>
      <c r="D25" t="s">
        <v>75</v>
      </c>
      <c r="E25" t="s">
        <v>76</v>
      </c>
      <c r="F25" t="s">
        <v>16</v>
      </c>
      <c r="H25" t="s">
        <v>77</v>
      </c>
      <c r="I25" t="s">
        <v>16</v>
      </c>
    </row>
    <row r="26" spans="1:11" x14ac:dyDescent="0.4">
      <c r="A26" t="s">
        <v>78</v>
      </c>
      <c r="B26" t="s">
        <v>79</v>
      </c>
      <c r="C26" t="s">
        <v>16</v>
      </c>
      <c r="D26" t="s">
        <v>80</v>
      </c>
      <c r="E26" t="s">
        <v>81</v>
      </c>
      <c r="F26" t="s">
        <v>16</v>
      </c>
    </row>
    <row r="27" spans="1:11" x14ac:dyDescent="0.4">
      <c r="A27" t="s">
        <v>82</v>
      </c>
      <c r="B27" t="s">
        <v>83</v>
      </c>
      <c r="C27" t="s">
        <v>16</v>
      </c>
      <c r="D27" t="s">
        <v>84</v>
      </c>
      <c r="E27" t="s">
        <v>85</v>
      </c>
      <c r="F27" t="s">
        <v>16</v>
      </c>
    </row>
    <row r="29" spans="1:11" x14ac:dyDescent="0.4">
      <c r="A29" t="s">
        <v>86</v>
      </c>
    </row>
    <row r="30" spans="1:11" x14ac:dyDescent="0.4">
      <c r="A30" t="s">
        <v>87</v>
      </c>
      <c r="B30" t="s">
        <v>88</v>
      </c>
      <c r="D30" t="s">
        <v>89</v>
      </c>
      <c r="E30" t="s">
        <v>90</v>
      </c>
      <c r="G30" t="s">
        <v>91</v>
      </c>
      <c r="H30" t="s">
        <v>92</v>
      </c>
    </row>
    <row r="31" spans="1:11" x14ac:dyDescent="0.4">
      <c r="A31" t="s">
        <v>93</v>
      </c>
      <c r="B31" t="s">
        <v>94</v>
      </c>
      <c r="D31" t="s">
        <v>95</v>
      </c>
      <c r="E31" t="s">
        <v>96</v>
      </c>
      <c r="G31" t="s">
        <v>97</v>
      </c>
      <c r="H31" t="s">
        <v>98</v>
      </c>
    </row>
    <row r="32" spans="1:11" x14ac:dyDescent="0.4">
      <c r="A32" t="s">
        <v>99</v>
      </c>
      <c r="B32" t="s">
        <v>90</v>
      </c>
      <c r="D32" t="s">
        <v>100</v>
      </c>
      <c r="E32" t="s">
        <v>101</v>
      </c>
      <c r="G32" t="s">
        <v>102</v>
      </c>
      <c r="H32" t="s">
        <v>103</v>
      </c>
    </row>
    <row r="35" spans="1:3" x14ac:dyDescent="0.4">
      <c r="A35" t="s">
        <v>104</v>
      </c>
    </row>
    <row r="36" spans="1:3" x14ac:dyDescent="0.4">
      <c r="A36" t="s">
        <v>11</v>
      </c>
      <c r="B36" t="s">
        <v>105</v>
      </c>
      <c r="C36" t="s">
        <v>13</v>
      </c>
    </row>
    <row r="37" spans="1:3" x14ac:dyDescent="0.4">
      <c r="A37" t="s">
        <v>20</v>
      </c>
      <c r="B37" t="s">
        <v>106</v>
      </c>
      <c r="C37" t="s">
        <v>22</v>
      </c>
    </row>
    <row r="38" spans="1:3" x14ac:dyDescent="0.4">
      <c r="A38" t="s">
        <v>27</v>
      </c>
      <c r="B38" t="s">
        <v>107</v>
      </c>
      <c r="C38" t="s">
        <v>29</v>
      </c>
    </row>
    <row r="39" spans="1:3" x14ac:dyDescent="0.4">
      <c r="A39" t="s">
        <v>108</v>
      </c>
      <c r="B39" t="s">
        <v>109</v>
      </c>
      <c r="C39" t="s">
        <v>16</v>
      </c>
    </row>
    <row r="40" spans="1:3" x14ac:dyDescent="0.4">
      <c r="A40" t="s">
        <v>110</v>
      </c>
      <c r="B40" t="s">
        <v>111</v>
      </c>
      <c r="C40" t="s">
        <v>39</v>
      </c>
    </row>
  </sheetData>
  <pageMargins left="0.7" right="0.7" top="0.75" bottom="0.75" header="0.3" footer="0.3"/>
  <pageSetup orientation="portrait" r:id="rId1"/>
  <headerFooter>
    <oddFooter xml:space="preserve">&amp;LUnrestricted </oddFooter>
    <evenFooter xml:space="preserve">&amp;LUnrestricted </evenFooter>
    <firstFooter xml:space="preserve">&amp;LUnrestricted 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Q15"/>
  <sheetViews>
    <sheetView workbookViewId="0"/>
  </sheetViews>
  <sheetFormatPr defaultRowHeight="14.6" x14ac:dyDescent="0.4"/>
  <sheetData>
    <row r="1" spans="1:43" x14ac:dyDescent="0.4">
      <c r="A1" t="s">
        <v>112</v>
      </c>
    </row>
    <row r="2" spans="1:43" x14ac:dyDescent="0.4">
      <c r="A2" t="s">
        <v>113</v>
      </c>
      <c r="B2" t="s">
        <v>6</v>
      </c>
      <c r="C2" t="s">
        <v>11</v>
      </c>
      <c r="D2" t="s">
        <v>20</v>
      </c>
      <c r="E2" t="s">
        <v>27</v>
      </c>
      <c r="F2" t="s">
        <v>9</v>
      </c>
      <c r="I2" t="s">
        <v>10</v>
      </c>
      <c r="L2" t="s">
        <v>34</v>
      </c>
      <c r="O2" t="s">
        <v>35</v>
      </c>
      <c r="R2" t="s">
        <v>36</v>
      </c>
      <c r="S2" t="s">
        <v>51</v>
      </c>
      <c r="V2" t="s">
        <v>52</v>
      </c>
      <c r="Y2" t="s">
        <v>53</v>
      </c>
      <c r="AB2" t="s">
        <v>70</v>
      </c>
      <c r="AE2" t="s">
        <v>71</v>
      </c>
      <c r="AH2" t="s">
        <v>72</v>
      </c>
      <c r="AI2" t="s">
        <v>86</v>
      </c>
    </row>
    <row r="3" spans="1:43" x14ac:dyDescent="0.4">
      <c r="F3" t="s">
        <v>14</v>
      </c>
      <c r="G3" t="s">
        <v>23</v>
      </c>
      <c r="H3" t="s">
        <v>30</v>
      </c>
      <c r="I3" t="s">
        <v>17</v>
      </c>
      <c r="J3" t="s">
        <v>25</v>
      </c>
      <c r="K3" t="s">
        <v>32</v>
      </c>
      <c r="L3" t="s">
        <v>37</v>
      </c>
      <c r="M3" t="s">
        <v>43</v>
      </c>
      <c r="N3" t="s">
        <v>47</v>
      </c>
      <c r="O3" t="s">
        <v>40</v>
      </c>
      <c r="P3" t="s">
        <v>45</v>
      </c>
      <c r="Q3" t="s">
        <v>49</v>
      </c>
      <c r="S3" t="s">
        <v>54</v>
      </c>
      <c r="T3" t="s">
        <v>60</v>
      </c>
      <c r="U3" t="s">
        <v>66</v>
      </c>
      <c r="V3" t="s">
        <v>56</v>
      </c>
      <c r="W3" t="s">
        <v>62</v>
      </c>
      <c r="X3" t="s">
        <v>68</v>
      </c>
      <c r="Y3" t="s">
        <v>58</v>
      </c>
      <c r="Z3" t="s">
        <v>64</v>
      </c>
      <c r="AA3" t="s">
        <v>69</v>
      </c>
      <c r="AB3" t="s">
        <v>73</v>
      </c>
      <c r="AC3" t="s">
        <v>78</v>
      </c>
      <c r="AD3" t="s">
        <v>82</v>
      </c>
      <c r="AE3" t="s">
        <v>75</v>
      </c>
      <c r="AF3" t="s">
        <v>80</v>
      </c>
      <c r="AG3" t="s">
        <v>84</v>
      </c>
      <c r="AI3" t="s">
        <v>87</v>
      </c>
      <c r="AJ3" t="s">
        <v>93</v>
      </c>
      <c r="AK3" t="s">
        <v>99</v>
      </c>
      <c r="AL3" t="s">
        <v>89</v>
      </c>
      <c r="AM3" t="s">
        <v>95</v>
      </c>
      <c r="AN3" t="s">
        <v>100</v>
      </c>
      <c r="AO3" t="s">
        <v>91</v>
      </c>
      <c r="AP3" t="s">
        <v>97</v>
      </c>
      <c r="AQ3" t="s">
        <v>102</v>
      </c>
    </row>
    <row r="4" spans="1:43" x14ac:dyDescent="0.4">
      <c r="A4" t="s">
        <v>114</v>
      </c>
      <c r="B4" t="s">
        <v>7</v>
      </c>
      <c r="C4" t="s">
        <v>12</v>
      </c>
      <c r="D4" t="s">
        <v>21</v>
      </c>
      <c r="E4" t="s">
        <v>115</v>
      </c>
      <c r="F4" t="s">
        <v>15</v>
      </c>
      <c r="G4" t="s">
        <v>116</v>
      </c>
      <c r="H4" t="s">
        <v>31</v>
      </c>
      <c r="I4" t="s">
        <v>18</v>
      </c>
      <c r="J4" t="s">
        <v>117</v>
      </c>
      <c r="K4" t="s">
        <v>33</v>
      </c>
      <c r="L4" t="s">
        <v>38</v>
      </c>
      <c r="M4" t="s">
        <v>44</v>
      </c>
      <c r="N4" t="s">
        <v>48</v>
      </c>
      <c r="O4" t="s">
        <v>41</v>
      </c>
      <c r="P4" t="s">
        <v>46</v>
      </c>
      <c r="Q4" t="s">
        <v>50</v>
      </c>
      <c r="R4" t="s">
        <v>42</v>
      </c>
      <c r="S4" t="s">
        <v>118</v>
      </c>
      <c r="T4" t="s">
        <v>61</v>
      </c>
      <c r="U4" t="s">
        <v>67</v>
      </c>
      <c r="V4" t="s">
        <v>119</v>
      </c>
      <c r="W4" t="s">
        <v>63</v>
      </c>
      <c r="X4" t="s">
        <v>120</v>
      </c>
      <c r="Y4" t="s">
        <v>59</v>
      </c>
      <c r="Z4" t="s">
        <v>65</v>
      </c>
      <c r="AA4" t="s">
        <v>46</v>
      </c>
      <c r="AB4" t="s">
        <v>74</v>
      </c>
      <c r="AC4" t="s">
        <v>79</v>
      </c>
      <c r="AD4" t="s">
        <v>83</v>
      </c>
      <c r="AE4" t="s">
        <v>76</v>
      </c>
      <c r="AF4" t="s">
        <v>81</v>
      </c>
      <c r="AG4" t="s">
        <v>85</v>
      </c>
      <c r="AH4" t="s">
        <v>77</v>
      </c>
      <c r="AI4" t="s">
        <v>121</v>
      </c>
      <c r="AJ4" t="s">
        <v>94</v>
      </c>
      <c r="AK4" t="s">
        <v>122</v>
      </c>
      <c r="AL4" t="s">
        <v>122</v>
      </c>
      <c r="AM4" t="s">
        <v>96</v>
      </c>
      <c r="AN4" t="s">
        <v>123</v>
      </c>
      <c r="AO4" t="s">
        <v>92</v>
      </c>
      <c r="AP4" t="s">
        <v>98</v>
      </c>
      <c r="AQ4" t="s">
        <v>103</v>
      </c>
    </row>
    <row r="5" spans="1:43" x14ac:dyDescent="0.4">
      <c r="A5" t="s">
        <v>124</v>
      </c>
      <c r="B5" t="s">
        <v>125</v>
      </c>
      <c r="C5" t="s">
        <v>126</v>
      </c>
      <c r="D5" t="s">
        <v>127</v>
      </c>
      <c r="E5" t="s">
        <v>128</v>
      </c>
      <c r="F5" t="s">
        <v>129</v>
      </c>
      <c r="G5" t="s">
        <v>130</v>
      </c>
      <c r="H5" t="s">
        <v>131</v>
      </c>
      <c r="I5" t="s">
        <v>132</v>
      </c>
      <c r="J5" t="s">
        <v>133</v>
      </c>
      <c r="K5" t="s">
        <v>134</v>
      </c>
      <c r="L5" t="s">
        <v>135</v>
      </c>
      <c r="M5" t="s">
        <v>136</v>
      </c>
      <c r="N5" t="s">
        <v>137</v>
      </c>
      <c r="O5" t="s">
        <v>138</v>
      </c>
      <c r="P5" t="s">
        <v>139</v>
      </c>
      <c r="Q5" t="s">
        <v>140</v>
      </c>
      <c r="R5" t="s">
        <v>141</v>
      </c>
      <c r="S5" t="s">
        <v>142</v>
      </c>
      <c r="T5" t="s">
        <v>143</v>
      </c>
      <c r="U5" t="s">
        <v>144</v>
      </c>
      <c r="V5" t="s">
        <v>145</v>
      </c>
      <c r="W5" t="s">
        <v>146</v>
      </c>
      <c r="X5" t="s">
        <v>147</v>
      </c>
      <c r="Y5" t="s">
        <v>140</v>
      </c>
      <c r="Z5" t="s">
        <v>140</v>
      </c>
      <c r="AA5" t="s">
        <v>148</v>
      </c>
      <c r="AB5" t="s">
        <v>149</v>
      </c>
      <c r="AC5" t="s">
        <v>150</v>
      </c>
      <c r="AD5" t="s">
        <v>151</v>
      </c>
      <c r="AE5" t="s">
        <v>152</v>
      </c>
      <c r="AF5" t="s">
        <v>153</v>
      </c>
      <c r="AG5" t="s">
        <v>154</v>
      </c>
      <c r="AH5" t="s">
        <v>155</v>
      </c>
      <c r="AI5" t="s">
        <v>156</v>
      </c>
      <c r="AJ5" t="s">
        <v>157</v>
      </c>
      <c r="AK5" t="s">
        <v>158</v>
      </c>
      <c r="AL5" t="s">
        <v>158</v>
      </c>
      <c r="AM5" t="s">
        <v>158</v>
      </c>
      <c r="AN5" t="s">
        <v>98</v>
      </c>
      <c r="AO5" t="s">
        <v>157</v>
      </c>
      <c r="AP5" t="s">
        <v>159</v>
      </c>
      <c r="AQ5" t="s">
        <v>160</v>
      </c>
    </row>
    <row r="6" spans="1:43" x14ac:dyDescent="0.4">
      <c r="A6" t="s">
        <v>161</v>
      </c>
      <c r="B6" t="s">
        <v>125</v>
      </c>
      <c r="C6" t="s">
        <v>126</v>
      </c>
      <c r="D6" t="s">
        <v>127</v>
      </c>
      <c r="E6" t="s">
        <v>128</v>
      </c>
      <c r="F6" t="s">
        <v>129</v>
      </c>
      <c r="G6" t="s">
        <v>162</v>
      </c>
      <c r="H6" t="s">
        <v>131</v>
      </c>
      <c r="I6" t="s">
        <v>132</v>
      </c>
      <c r="J6" t="s">
        <v>163</v>
      </c>
      <c r="K6" t="s">
        <v>134</v>
      </c>
      <c r="L6" t="s">
        <v>135</v>
      </c>
      <c r="M6" t="s">
        <v>136</v>
      </c>
      <c r="N6" t="s">
        <v>137</v>
      </c>
      <c r="O6" t="s">
        <v>138</v>
      </c>
      <c r="P6" t="s">
        <v>139</v>
      </c>
      <c r="Q6" t="s">
        <v>140</v>
      </c>
      <c r="R6" t="s">
        <v>141</v>
      </c>
      <c r="S6" t="s">
        <v>164</v>
      </c>
      <c r="T6" t="s">
        <v>143</v>
      </c>
      <c r="U6" t="s">
        <v>165</v>
      </c>
      <c r="V6" t="s">
        <v>166</v>
      </c>
      <c r="W6" t="s">
        <v>167</v>
      </c>
      <c r="X6" t="s">
        <v>168</v>
      </c>
      <c r="Y6" t="s">
        <v>140</v>
      </c>
      <c r="Z6" t="s">
        <v>140</v>
      </c>
      <c r="AA6" t="s">
        <v>148</v>
      </c>
      <c r="AB6" t="s">
        <v>149</v>
      </c>
      <c r="AC6" t="s">
        <v>150</v>
      </c>
      <c r="AD6" t="s">
        <v>151</v>
      </c>
      <c r="AE6" t="s">
        <v>152</v>
      </c>
      <c r="AF6" t="s">
        <v>153</v>
      </c>
      <c r="AG6" t="s">
        <v>154</v>
      </c>
      <c r="AH6" t="s">
        <v>155</v>
      </c>
      <c r="AI6" t="s">
        <v>156</v>
      </c>
      <c r="AJ6" t="s">
        <v>169</v>
      </c>
      <c r="AK6" t="s">
        <v>158</v>
      </c>
      <c r="AL6" t="s">
        <v>158</v>
      </c>
      <c r="AM6" t="s">
        <v>158</v>
      </c>
      <c r="AN6" t="s">
        <v>98</v>
      </c>
      <c r="AO6" t="s">
        <v>169</v>
      </c>
      <c r="AP6" t="s">
        <v>159</v>
      </c>
      <c r="AQ6" t="s">
        <v>160</v>
      </c>
    </row>
    <row r="7" spans="1:43" x14ac:dyDescent="0.4">
      <c r="A7" t="s">
        <v>170</v>
      </c>
      <c r="B7" t="s">
        <v>171</v>
      </c>
      <c r="C7" t="s">
        <v>172</v>
      </c>
      <c r="D7" t="s">
        <v>173</v>
      </c>
      <c r="E7" t="s">
        <v>174</v>
      </c>
      <c r="F7" t="s">
        <v>175</v>
      </c>
      <c r="G7" t="s">
        <v>176</v>
      </c>
      <c r="H7" t="s">
        <v>177</v>
      </c>
      <c r="I7" t="s">
        <v>178</v>
      </c>
      <c r="J7" t="s">
        <v>179</v>
      </c>
      <c r="K7" t="s">
        <v>180</v>
      </c>
      <c r="L7" t="s">
        <v>181</v>
      </c>
      <c r="M7" t="s">
        <v>182</v>
      </c>
      <c r="N7" t="s">
        <v>183</v>
      </c>
      <c r="O7" t="s">
        <v>184</v>
      </c>
      <c r="P7" t="s">
        <v>185</v>
      </c>
      <c r="Q7" t="s">
        <v>186</v>
      </c>
      <c r="R7" t="s">
        <v>187</v>
      </c>
      <c r="S7" t="s">
        <v>188</v>
      </c>
      <c r="T7" t="s">
        <v>189</v>
      </c>
      <c r="U7" t="s">
        <v>190</v>
      </c>
      <c r="V7" t="s">
        <v>191</v>
      </c>
      <c r="W7" t="s">
        <v>192</v>
      </c>
      <c r="X7" t="s">
        <v>193</v>
      </c>
      <c r="Y7" t="s">
        <v>194</v>
      </c>
      <c r="Z7" t="s">
        <v>195</v>
      </c>
      <c r="AA7" t="s">
        <v>196</v>
      </c>
      <c r="AB7" t="s">
        <v>197</v>
      </c>
      <c r="AC7" t="s">
        <v>198</v>
      </c>
      <c r="AD7" t="s">
        <v>199</v>
      </c>
      <c r="AE7" t="s">
        <v>200</v>
      </c>
      <c r="AF7" t="s">
        <v>201</v>
      </c>
      <c r="AG7" t="s">
        <v>202</v>
      </c>
      <c r="AH7" t="s">
        <v>203</v>
      </c>
      <c r="AI7" t="s">
        <v>204</v>
      </c>
      <c r="AJ7" t="s">
        <v>205</v>
      </c>
      <c r="AK7" t="s">
        <v>206</v>
      </c>
      <c r="AL7" t="s">
        <v>207</v>
      </c>
      <c r="AM7" t="s">
        <v>208</v>
      </c>
      <c r="AN7" t="s">
        <v>209</v>
      </c>
      <c r="AO7" t="s">
        <v>210</v>
      </c>
      <c r="AP7" t="s">
        <v>211</v>
      </c>
      <c r="AQ7" t="s">
        <v>212</v>
      </c>
    </row>
    <row r="8" spans="1:43" x14ac:dyDescent="0.4">
      <c r="A8" t="s">
        <v>213</v>
      </c>
      <c r="B8" t="s">
        <v>171</v>
      </c>
      <c r="C8" t="s">
        <v>214</v>
      </c>
      <c r="D8" t="s">
        <v>215</v>
      </c>
      <c r="E8" t="s">
        <v>216</v>
      </c>
      <c r="F8" t="s">
        <v>217</v>
      </c>
      <c r="G8" t="s">
        <v>218</v>
      </c>
      <c r="H8" t="s">
        <v>219</v>
      </c>
      <c r="I8" t="s">
        <v>220</v>
      </c>
      <c r="J8" t="s">
        <v>221</v>
      </c>
      <c r="K8" t="s">
        <v>222</v>
      </c>
      <c r="L8" t="s">
        <v>223</v>
      </c>
      <c r="M8" t="s">
        <v>224</v>
      </c>
      <c r="N8" t="s">
        <v>225</v>
      </c>
      <c r="O8" t="s">
        <v>226</v>
      </c>
      <c r="P8" t="s">
        <v>227</v>
      </c>
      <c r="Q8" t="s">
        <v>228</v>
      </c>
      <c r="R8" t="s">
        <v>229</v>
      </c>
      <c r="S8" t="s">
        <v>230</v>
      </c>
      <c r="T8" t="s">
        <v>231</v>
      </c>
      <c r="U8" t="s">
        <v>232</v>
      </c>
      <c r="V8" t="s">
        <v>233</v>
      </c>
      <c r="W8" t="s">
        <v>234</v>
      </c>
      <c r="X8" t="s">
        <v>235</v>
      </c>
      <c r="Y8" t="s">
        <v>236</v>
      </c>
      <c r="Z8" t="s">
        <v>237</v>
      </c>
      <c r="AA8" t="s">
        <v>238</v>
      </c>
      <c r="AB8" t="s">
        <v>239</v>
      </c>
      <c r="AC8" t="s">
        <v>240</v>
      </c>
      <c r="AD8" t="s">
        <v>241</v>
      </c>
      <c r="AE8" t="s">
        <v>242</v>
      </c>
      <c r="AF8" t="s">
        <v>243</v>
      </c>
      <c r="AG8" t="s">
        <v>244</v>
      </c>
      <c r="AH8" t="s">
        <v>245</v>
      </c>
      <c r="AI8" t="s">
        <v>246</v>
      </c>
      <c r="AJ8" t="s">
        <v>247</v>
      </c>
      <c r="AK8" t="s">
        <v>248</v>
      </c>
      <c r="AL8" t="s">
        <v>249</v>
      </c>
      <c r="AM8" t="s">
        <v>250</v>
      </c>
      <c r="AN8" t="s">
        <v>251</v>
      </c>
      <c r="AO8" t="s">
        <v>252</v>
      </c>
      <c r="AP8" t="s">
        <v>253</v>
      </c>
      <c r="AQ8" t="s">
        <v>254</v>
      </c>
    </row>
    <row r="9" spans="1:43" x14ac:dyDescent="0.4">
      <c r="A9" t="s">
        <v>255</v>
      </c>
      <c r="B9" t="s">
        <v>171</v>
      </c>
      <c r="C9" t="s">
        <v>256</v>
      </c>
      <c r="D9" t="s">
        <v>257</v>
      </c>
      <c r="E9" t="s">
        <v>258</v>
      </c>
      <c r="F9" t="s">
        <v>259</v>
      </c>
      <c r="G9" t="s">
        <v>260</v>
      </c>
      <c r="H9" t="s">
        <v>261</v>
      </c>
      <c r="I9" t="s">
        <v>262</v>
      </c>
      <c r="J9" t="s">
        <v>263</v>
      </c>
      <c r="K9" t="s">
        <v>264</v>
      </c>
      <c r="L9" t="s">
        <v>265</v>
      </c>
      <c r="M9" t="s">
        <v>266</v>
      </c>
      <c r="N9" t="s">
        <v>267</v>
      </c>
      <c r="O9" t="s">
        <v>268</v>
      </c>
      <c r="P9" t="s">
        <v>269</v>
      </c>
      <c r="Q9" t="s">
        <v>270</v>
      </c>
      <c r="R9" t="s">
        <v>271</v>
      </c>
      <c r="S9" t="s">
        <v>272</v>
      </c>
      <c r="T9" t="s">
        <v>273</v>
      </c>
      <c r="U9" t="s">
        <v>274</v>
      </c>
      <c r="V9" t="s">
        <v>275</v>
      </c>
      <c r="W9" t="s">
        <v>276</v>
      </c>
      <c r="X9" t="s">
        <v>277</v>
      </c>
      <c r="Y9" t="s">
        <v>278</v>
      </c>
      <c r="Z9" t="s">
        <v>279</v>
      </c>
      <c r="AA9" t="s">
        <v>280</v>
      </c>
      <c r="AB9" t="s">
        <v>281</v>
      </c>
      <c r="AC9" t="s">
        <v>282</v>
      </c>
      <c r="AD9" t="s">
        <v>283</v>
      </c>
      <c r="AE9" t="s">
        <v>284</v>
      </c>
      <c r="AF9" t="s">
        <v>285</v>
      </c>
      <c r="AG9" t="s">
        <v>286</v>
      </c>
      <c r="AH9" t="s">
        <v>287</v>
      </c>
      <c r="AI9" t="s">
        <v>288</v>
      </c>
      <c r="AJ9" t="s">
        <v>289</v>
      </c>
      <c r="AK9" t="s">
        <v>290</v>
      </c>
      <c r="AL9" t="s">
        <v>291</v>
      </c>
      <c r="AM9" t="s">
        <v>292</v>
      </c>
      <c r="AN9" t="s">
        <v>293</v>
      </c>
      <c r="AO9" t="s">
        <v>294</v>
      </c>
      <c r="AP9" t="s">
        <v>295</v>
      </c>
      <c r="AQ9" t="s">
        <v>296</v>
      </c>
    </row>
    <row r="10" spans="1:43" x14ac:dyDescent="0.4">
      <c r="A10" t="s">
        <v>297</v>
      </c>
      <c r="B10" t="s">
        <v>171</v>
      </c>
      <c r="C10" t="s">
        <v>298</v>
      </c>
      <c r="D10" t="s">
        <v>299</v>
      </c>
      <c r="E10" t="s">
        <v>300</v>
      </c>
      <c r="F10" t="s">
        <v>301</v>
      </c>
      <c r="G10" t="s">
        <v>302</v>
      </c>
      <c r="H10" t="s">
        <v>303</v>
      </c>
      <c r="I10" t="s">
        <v>304</v>
      </c>
      <c r="J10" t="s">
        <v>305</v>
      </c>
      <c r="K10" t="s">
        <v>306</v>
      </c>
      <c r="L10" t="s">
        <v>307</v>
      </c>
      <c r="M10" t="s">
        <v>308</v>
      </c>
      <c r="N10" t="s">
        <v>309</v>
      </c>
      <c r="O10" t="s">
        <v>310</v>
      </c>
      <c r="P10" t="s">
        <v>311</v>
      </c>
      <c r="Q10" t="s">
        <v>312</v>
      </c>
      <c r="R10" t="s">
        <v>313</v>
      </c>
      <c r="S10" t="s">
        <v>314</v>
      </c>
      <c r="T10" t="s">
        <v>315</v>
      </c>
      <c r="U10" t="s">
        <v>316</v>
      </c>
      <c r="V10" t="s">
        <v>317</v>
      </c>
      <c r="W10" t="s">
        <v>318</v>
      </c>
      <c r="X10" t="s">
        <v>319</v>
      </c>
      <c r="Y10" t="s">
        <v>320</v>
      </c>
      <c r="Z10" t="s">
        <v>321</v>
      </c>
      <c r="AA10" t="s">
        <v>322</v>
      </c>
      <c r="AB10" t="s">
        <v>323</v>
      </c>
      <c r="AC10" t="s">
        <v>324</v>
      </c>
      <c r="AD10" t="s">
        <v>325</v>
      </c>
      <c r="AE10" t="s">
        <v>326</v>
      </c>
      <c r="AF10" t="s">
        <v>327</v>
      </c>
      <c r="AG10" t="s">
        <v>328</v>
      </c>
      <c r="AH10" t="s">
        <v>329</v>
      </c>
      <c r="AI10" t="s">
        <v>330</v>
      </c>
      <c r="AJ10" t="s">
        <v>331</v>
      </c>
      <c r="AK10" t="s">
        <v>332</v>
      </c>
      <c r="AL10" t="s">
        <v>333</v>
      </c>
      <c r="AM10" t="s">
        <v>334</v>
      </c>
      <c r="AN10" t="s">
        <v>335</v>
      </c>
      <c r="AO10" t="s">
        <v>336</v>
      </c>
      <c r="AP10" t="s">
        <v>337</v>
      </c>
      <c r="AQ10" t="s">
        <v>338</v>
      </c>
    </row>
    <row r="11" spans="1:43" x14ac:dyDescent="0.4">
      <c r="A11" t="s">
        <v>339</v>
      </c>
      <c r="B11" t="s">
        <v>171</v>
      </c>
      <c r="C11" t="s">
        <v>340</v>
      </c>
      <c r="D11" t="s">
        <v>341</v>
      </c>
      <c r="E11" t="s">
        <v>342</v>
      </c>
      <c r="F11" t="s">
        <v>343</v>
      </c>
      <c r="G11" t="s">
        <v>344</v>
      </c>
      <c r="H11" t="s">
        <v>345</v>
      </c>
      <c r="I11" t="s">
        <v>346</v>
      </c>
      <c r="J11" t="s">
        <v>347</v>
      </c>
      <c r="K11" t="s">
        <v>348</v>
      </c>
      <c r="L11" t="s">
        <v>349</v>
      </c>
      <c r="M11" t="s">
        <v>350</v>
      </c>
      <c r="N11" t="s">
        <v>351</v>
      </c>
      <c r="O11" t="s">
        <v>352</v>
      </c>
      <c r="P11" t="s">
        <v>353</v>
      </c>
      <c r="Q11" t="s">
        <v>354</v>
      </c>
      <c r="R11" t="s">
        <v>355</v>
      </c>
      <c r="S11" t="s">
        <v>356</v>
      </c>
      <c r="T11" t="s">
        <v>357</v>
      </c>
      <c r="U11" t="s">
        <v>358</v>
      </c>
      <c r="V11" t="s">
        <v>359</v>
      </c>
      <c r="W11" t="s">
        <v>360</v>
      </c>
      <c r="X11" t="s">
        <v>361</v>
      </c>
      <c r="Y11" t="s">
        <v>362</v>
      </c>
      <c r="Z11" t="s">
        <v>363</v>
      </c>
      <c r="AA11" t="s">
        <v>364</v>
      </c>
      <c r="AB11" t="s">
        <v>365</v>
      </c>
      <c r="AC11" t="s">
        <v>366</v>
      </c>
      <c r="AD11" t="s">
        <v>367</v>
      </c>
      <c r="AE11" t="s">
        <v>368</v>
      </c>
      <c r="AF11" t="s">
        <v>369</v>
      </c>
      <c r="AG11" t="s">
        <v>370</v>
      </c>
      <c r="AH11" t="s">
        <v>371</v>
      </c>
      <c r="AI11" t="s">
        <v>372</v>
      </c>
      <c r="AJ11" t="s">
        <v>373</v>
      </c>
      <c r="AK11" t="s">
        <v>374</v>
      </c>
      <c r="AL11" t="s">
        <v>375</v>
      </c>
      <c r="AM11" t="s">
        <v>376</v>
      </c>
      <c r="AN11" t="s">
        <v>377</v>
      </c>
      <c r="AO11" t="s">
        <v>378</v>
      </c>
      <c r="AP11" t="s">
        <v>379</v>
      </c>
      <c r="AQ11" t="s">
        <v>380</v>
      </c>
    </row>
    <row r="12" spans="1:43" x14ac:dyDescent="0.4">
      <c r="A12" t="s">
        <v>381</v>
      </c>
      <c r="B12" t="s">
        <v>171</v>
      </c>
      <c r="C12" t="s">
        <v>382</v>
      </c>
      <c r="D12" t="s">
        <v>383</v>
      </c>
      <c r="E12" t="s">
        <v>384</v>
      </c>
      <c r="F12" t="s">
        <v>385</v>
      </c>
      <c r="G12" t="s">
        <v>386</v>
      </c>
      <c r="H12" t="s">
        <v>387</v>
      </c>
      <c r="I12" t="s">
        <v>388</v>
      </c>
      <c r="J12" t="s">
        <v>389</v>
      </c>
      <c r="K12" t="s">
        <v>390</v>
      </c>
      <c r="L12" t="s">
        <v>391</v>
      </c>
      <c r="M12" t="s">
        <v>392</v>
      </c>
      <c r="N12" t="s">
        <v>393</v>
      </c>
      <c r="O12" t="s">
        <v>394</v>
      </c>
      <c r="P12" t="s">
        <v>395</v>
      </c>
      <c r="Q12" t="s">
        <v>396</v>
      </c>
      <c r="R12" t="s">
        <v>397</v>
      </c>
      <c r="S12" t="s">
        <v>398</v>
      </c>
      <c r="T12" t="s">
        <v>399</v>
      </c>
      <c r="U12" t="s">
        <v>400</v>
      </c>
      <c r="V12" t="s">
        <v>401</v>
      </c>
      <c r="W12" t="s">
        <v>402</v>
      </c>
      <c r="X12" t="s">
        <v>403</v>
      </c>
      <c r="Y12" t="s">
        <v>404</v>
      </c>
      <c r="Z12" t="s">
        <v>405</v>
      </c>
      <c r="AA12" t="s">
        <v>406</v>
      </c>
      <c r="AB12" t="s">
        <v>407</v>
      </c>
      <c r="AC12" t="s">
        <v>408</v>
      </c>
      <c r="AD12" t="s">
        <v>409</v>
      </c>
      <c r="AE12" t="s">
        <v>410</v>
      </c>
      <c r="AF12" t="s">
        <v>411</v>
      </c>
      <c r="AG12" t="s">
        <v>412</v>
      </c>
      <c r="AH12" t="s">
        <v>413</v>
      </c>
      <c r="AI12" t="s">
        <v>414</v>
      </c>
      <c r="AJ12" t="s">
        <v>415</v>
      </c>
      <c r="AK12" t="s">
        <v>416</v>
      </c>
      <c r="AL12" t="s">
        <v>417</v>
      </c>
      <c r="AM12" t="s">
        <v>418</v>
      </c>
      <c r="AN12" t="s">
        <v>419</v>
      </c>
      <c r="AO12" t="s">
        <v>420</v>
      </c>
      <c r="AP12" t="s">
        <v>421</v>
      </c>
      <c r="AQ12" t="s">
        <v>422</v>
      </c>
    </row>
    <row r="13" spans="1:43" x14ac:dyDescent="0.4">
      <c r="A13" t="s">
        <v>423</v>
      </c>
      <c r="B13" t="s">
        <v>171</v>
      </c>
      <c r="C13" t="s">
        <v>424</v>
      </c>
      <c r="D13" t="s">
        <v>425</v>
      </c>
      <c r="E13" t="s">
        <v>426</v>
      </c>
      <c r="F13" t="s">
        <v>427</v>
      </c>
      <c r="G13" t="s">
        <v>428</v>
      </c>
      <c r="H13" t="s">
        <v>429</v>
      </c>
      <c r="I13" t="s">
        <v>430</v>
      </c>
      <c r="J13" t="s">
        <v>431</v>
      </c>
      <c r="K13" t="s">
        <v>432</v>
      </c>
      <c r="L13" t="s">
        <v>433</v>
      </c>
      <c r="M13" t="s">
        <v>434</v>
      </c>
      <c r="N13" t="s">
        <v>435</v>
      </c>
      <c r="O13" t="s">
        <v>436</v>
      </c>
      <c r="P13" t="s">
        <v>437</v>
      </c>
      <c r="Q13" t="s">
        <v>438</v>
      </c>
      <c r="R13" t="s">
        <v>439</v>
      </c>
      <c r="S13" t="s">
        <v>440</v>
      </c>
      <c r="T13" t="s">
        <v>441</v>
      </c>
      <c r="U13" t="s">
        <v>442</v>
      </c>
      <c r="V13" t="s">
        <v>443</v>
      </c>
      <c r="W13" t="s">
        <v>444</v>
      </c>
      <c r="X13" t="s">
        <v>445</v>
      </c>
      <c r="Y13" t="s">
        <v>446</v>
      </c>
      <c r="Z13" t="s">
        <v>447</v>
      </c>
      <c r="AA13" t="s">
        <v>448</v>
      </c>
      <c r="AB13" t="s">
        <v>449</v>
      </c>
      <c r="AC13" t="s">
        <v>450</v>
      </c>
      <c r="AD13" t="s">
        <v>451</v>
      </c>
      <c r="AE13" t="s">
        <v>452</v>
      </c>
      <c r="AF13" t="s">
        <v>453</v>
      </c>
      <c r="AG13" t="s">
        <v>286</v>
      </c>
      <c r="AH13" t="s">
        <v>454</v>
      </c>
      <c r="AI13" t="s">
        <v>455</v>
      </c>
      <c r="AJ13" t="s">
        <v>456</v>
      </c>
      <c r="AK13" t="s">
        <v>290</v>
      </c>
      <c r="AL13" t="s">
        <v>457</v>
      </c>
      <c r="AM13" t="s">
        <v>458</v>
      </c>
      <c r="AN13" t="s">
        <v>459</v>
      </c>
      <c r="AO13" t="s">
        <v>460</v>
      </c>
      <c r="AP13" t="s">
        <v>461</v>
      </c>
      <c r="AQ13" t="s">
        <v>462</v>
      </c>
    </row>
    <row r="14" spans="1:43" x14ac:dyDescent="0.4">
      <c r="A14" t="s">
        <v>463</v>
      </c>
      <c r="B14" t="s">
        <v>171</v>
      </c>
      <c r="C14" t="s">
        <v>464</v>
      </c>
      <c r="D14" t="s">
        <v>465</v>
      </c>
      <c r="E14" t="s">
        <v>466</v>
      </c>
      <c r="F14" t="s">
        <v>467</v>
      </c>
      <c r="G14" t="s">
        <v>468</v>
      </c>
      <c r="H14" t="s">
        <v>469</v>
      </c>
      <c r="I14" t="s">
        <v>470</v>
      </c>
      <c r="J14" t="s">
        <v>471</v>
      </c>
      <c r="K14" t="s">
        <v>472</v>
      </c>
      <c r="L14" t="s">
        <v>473</v>
      </c>
      <c r="M14" t="s">
        <v>474</v>
      </c>
      <c r="N14" t="s">
        <v>475</v>
      </c>
      <c r="O14" t="s">
        <v>476</v>
      </c>
      <c r="P14" t="s">
        <v>477</v>
      </c>
      <c r="Q14" t="s">
        <v>478</v>
      </c>
      <c r="R14" t="s">
        <v>479</v>
      </c>
      <c r="S14" t="s">
        <v>480</v>
      </c>
      <c r="T14" t="s">
        <v>481</v>
      </c>
      <c r="U14" t="s">
        <v>482</v>
      </c>
      <c r="V14" t="s">
        <v>483</v>
      </c>
      <c r="W14" t="s">
        <v>484</v>
      </c>
      <c r="X14" t="s">
        <v>485</v>
      </c>
      <c r="Y14" t="s">
        <v>486</v>
      </c>
      <c r="Z14" t="s">
        <v>487</v>
      </c>
      <c r="AA14" t="s">
        <v>488</v>
      </c>
      <c r="AB14" t="s">
        <v>489</v>
      </c>
      <c r="AC14" t="s">
        <v>490</v>
      </c>
      <c r="AD14" t="s">
        <v>491</v>
      </c>
      <c r="AE14" t="s">
        <v>492</v>
      </c>
      <c r="AF14" t="s">
        <v>493</v>
      </c>
      <c r="AG14" t="s">
        <v>494</v>
      </c>
      <c r="AH14" t="s">
        <v>495</v>
      </c>
      <c r="AI14" t="s">
        <v>496</v>
      </c>
      <c r="AJ14" t="s">
        <v>497</v>
      </c>
      <c r="AK14" t="s">
        <v>498</v>
      </c>
      <c r="AL14" t="s">
        <v>499</v>
      </c>
      <c r="AM14" t="s">
        <v>500</v>
      </c>
      <c r="AN14" t="s">
        <v>501</v>
      </c>
      <c r="AO14" t="s">
        <v>502</v>
      </c>
      <c r="AP14" t="s">
        <v>503</v>
      </c>
      <c r="AQ14" t="s">
        <v>504</v>
      </c>
    </row>
    <row r="15" spans="1:43" x14ac:dyDescent="0.4">
      <c r="A15" t="s">
        <v>505</v>
      </c>
      <c r="B15" t="s">
        <v>171</v>
      </c>
      <c r="C15" t="s">
        <v>506</v>
      </c>
      <c r="D15" t="s">
        <v>507</v>
      </c>
      <c r="E15" t="s">
        <v>508</v>
      </c>
      <c r="F15" t="s">
        <v>509</v>
      </c>
      <c r="G15" t="s">
        <v>510</v>
      </c>
      <c r="H15" t="s">
        <v>511</v>
      </c>
      <c r="I15" t="s">
        <v>512</v>
      </c>
      <c r="J15" t="s">
        <v>513</v>
      </c>
      <c r="K15" t="s">
        <v>514</v>
      </c>
      <c r="L15" t="s">
        <v>515</v>
      </c>
      <c r="M15" t="s">
        <v>516</v>
      </c>
      <c r="N15" t="s">
        <v>517</v>
      </c>
      <c r="O15" t="s">
        <v>518</v>
      </c>
      <c r="P15" t="s">
        <v>519</v>
      </c>
      <c r="Q15" t="s">
        <v>520</v>
      </c>
      <c r="R15" t="s">
        <v>521</v>
      </c>
      <c r="S15" t="s">
        <v>522</v>
      </c>
      <c r="T15" t="s">
        <v>523</v>
      </c>
      <c r="U15" t="s">
        <v>524</v>
      </c>
      <c r="V15" t="s">
        <v>525</v>
      </c>
      <c r="W15" t="s">
        <v>526</v>
      </c>
      <c r="X15" t="s">
        <v>527</v>
      </c>
      <c r="Y15" t="s">
        <v>528</v>
      </c>
      <c r="Z15" t="s">
        <v>519</v>
      </c>
      <c r="AA15" t="s">
        <v>529</v>
      </c>
      <c r="AB15" t="s">
        <v>530</v>
      </c>
      <c r="AC15" t="s">
        <v>531</v>
      </c>
      <c r="AD15" t="s">
        <v>532</v>
      </c>
      <c r="AE15" t="s">
        <v>533</v>
      </c>
      <c r="AF15" t="s">
        <v>534</v>
      </c>
      <c r="AG15" t="s">
        <v>535</v>
      </c>
      <c r="AH15" t="s">
        <v>536</v>
      </c>
      <c r="AI15" t="s">
        <v>537</v>
      </c>
      <c r="AJ15" t="s">
        <v>538</v>
      </c>
      <c r="AK15" t="s">
        <v>290</v>
      </c>
      <c r="AL15" t="s">
        <v>539</v>
      </c>
      <c r="AM15" t="s">
        <v>98</v>
      </c>
      <c r="AN15" t="s">
        <v>540</v>
      </c>
      <c r="AO15" t="s">
        <v>541</v>
      </c>
      <c r="AP15" t="s">
        <v>542</v>
      </c>
      <c r="AQ15" t="s">
        <v>537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6" x14ac:dyDescent="0.4"/>
  <sheetData>
    <row r="1" spans="1:1" x14ac:dyDescent="0.4">
      <c r="A1" t="s">
        <v>543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Overall Mass Properties Data</vt:lpstr>
      <vt:lpstr>Per Component Data</vt:lpstr>
      <vt:lpstr>Warnings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keywords>C_Unrestricted</cp:keywords>
  <cp:lastModifiedBy/>
  <dcterms:created xsi:type="dcterms:W3CDTF">2015-06-05T18:17:20Z</dcterms:created>
  <dcterms:modified xsi:type="dcterms:W3CDTF">2026-07-03T10:41:09Z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ument Confidentiality">
    <vt:lpwstr>Unrestricted</vt:lpwstr>
  </property>
  <property fmtid="{D5CDD505-2E9C-101B-9397-08002B2CF9AE}" pid="3" name="sodocoClasLang">
    <vt:lpwstr>Unrestricted</vt:lpwstr>
  </property>
  <property fmtid="{D5CDD505-2E9C-101B-9397-08002B2CF9AE}" pid="4" name="sodocoClasLangId">
    <vt:i4>0</vt:i4>
  </property>
  <property fmtid="{D5CDD505-2E9C-101B-9397-08002B2CF9AE}" pid="5" name="sodocoClasId">
    <vt:i4>0</vt:i4>
  </property>
</Properties>
</file>