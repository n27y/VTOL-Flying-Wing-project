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</sheets>
  <definedNames/>
  <calcPr/>
</workbook>
</file>

<file path=xl/sharedStrings.xml><?xml version="1.0" encoding="utf-8"?>
<sst xmlns="http://schemas.openxmlformats.org/spreadsheetml/2006/main" count="62" uniqueCount="48">
  <si>
    <t>Category</t>
  </si>
  <si>
    <t>Component Name</t>
  </si>
  <si>
    <t>Qty</t>
  </si>
  <si>
    <t>Weight per Unit (g)</t>
  </si>
  <si>
    <t>Total Weight (g)</t>
  </si>
  <si>
    <t>Operating Voltage</t>
  </si>
  <si>
    <t>Price</t>
  </si>
  <si>
    <t>CAD</t>
  </si>
  <si>
    <t>Power</t>
  </si>
  <si>
    <t>Pyrodrone Graphene 4500MAH 6S 120C LiPo</t>
  </si>
  <si>
    <t>6S (22.2V Nom)</t>
  </si>
  <si>
    <t>Holybro PM07 Power Management Board</t>
  </si>
  <si>
    <t>2S - 14S</t>
  </si>
  <si>
    <t>Propulsion</t>
  </si>
  <si>
    <t>KDE5215XF-435 Motor</t>
  </si>
  <si>
    <t>Up to 8S</t>
  </si>
  <si>
    <t>KDE-CF185-DP-M4 (18.5" propeller)</t>
  </si>
  <si>
    <t>N/A</t>
  </si>
  <si>
    <t>KDE Direct UAS 55A+ HVC ESC</t>
  </si>
  <si>
    <t>Actuation</t>
  </si>
  <si>
    <t>Savox SC-1256TG Titanium Gear Servo</t>
  </si>
  <si>
    <t>4.8V - 6.0V</t>
  </si>
  <si>
    <t>KST X08 V6.0 Micro Servo</t>
  </si>
  <si>
    <t>3.8V - 8.4V</t>
  </si>
  <si>
    <t>Anti-Torque</t>
  </si>
  <si>
    <t>GEPRC SPEEDX2 1404 2100KV Motor</t>
  </si>
  <si>
    <t>3S - 6S</t>
  </si>
  <si>
    <t>Gemfan 3018 3-Blade Propeller</t>
  </si>
  <si>
    <t>Flycolor X-Cross 35A 6S Mini ESC</t>
  </si>
  <si>
    <t>Avionics</t>
  </si>
  <si>
    <t>Holybro Pixhawk 6C (Plastic Case)</t>
  </si>
  <si>
    <t>5.2V</t>
  </si>
  <si>
    <t>Holybro SiK Telemetry Radio V3</t>
  </si>
  <si>
    <t>5V</t>
  </si>
  <si>
    <t>Regulators</t>
  </si>
  <si>
    <t>10A High Voltage UBEC</t>
  </si>
  <si>
    <t>Up to 6S</t>
  </si>
  <si>
    <t>Pololu 5V 9A Step-Down Voltage Regulator</t>
  </si>
  <si>
    <t>Up to 38V</t>
  </si>
  <si>
    <t>total mass</t>
  </si>
  <si>
    <t>Tools</t>
  </si>
  <si>
    <t>Bambu Lab A1 3D Printer</t>
  </si>
  <si>
    <t>Foam cutting kit</t>
  </si>
  <si>
    <t>Solder kit</t>
  </si>
  <si>
    <t>Materials</t>
  </si>
  <si>
    <t>Carbon Fiber tube</t>
  </si>
  <si>
    <t>Foam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</si>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</sst>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1.0</v>
      </c>
      <c r="D2" s="1">
        <v>690.0</v>
      </c>
      <c r="E2" s="1">
        <v>690.0</v>
      </c>
      <c r="F2" s="1" t="s">
        <v>10</v>
      </c>
      <c r="G2" s="1">
        <v>149.99</v>
      </c>
      <c r="H2" s="2"/>
    </row>
    <row r="3">
      <c r="A3" s="1" t="s">
        <v>8</v>
      </c>
      <c r="B3" s="1" t="s">
        <v>11</v>
      </c>
      <c r="C3" s="1">
        <v>1.0</v>
      </c>
      <c r="D3" s="1">
        <v>43.8</v>
      </c>
      <c r="E3" s="1">
        <v>43.8</v>
      </c>
      <c r="F3" s="1" t="s">
        <v>12</v>
      </c>
      <c r="G3" s="1">
        <v>43.99</v>
      </c>
      <c r="H3" s="2"/>
    </row>
    <row r="4">
      <c r="A4" s="1" t="s">
        <v>13</v>
      </c>
      <c r="B4" s="1" t="s">
        <v>14</v>
      </c>
      <c r="C4" s="1">
        <v>1.0</v>
      </c>
      <c r="D4" s="1">
        <v>190.0</v>
      </c>
      <c r="E4" s="1">
        <v>250.0</v>
      </c>
      <c r="F4" s="1" t="s">
        <v>15</v>
      </c>
      <c r="G4" s="1">
        <v>260.0</v>
      </c>
      <c r="H4" s="2"/>
    </row>
    <row r="5">
      <c r="A5" s="1" t="s">
        <v>13</v>
      </c>
      <c r="B5" s="1" t="s">
        <v>16</v>
      </c>
      <c r="C5" s="1">
        <v>1.0</v>
      </c>
      <c r="D5" s="1">
        <v>250.0</v>
      </c>
      <c r="E5" s="1">
        <v>35.0</v>
      </c>
      <c r="F5" s="1" t="s">
        <v>17</v>
      </c>
      <c r="G5" s="1">
        <v>170.0</v>
      </c>
      <c r="H5" s="2"/>
    </row>
    <row r="6">
      <c r="A6" s="1" t="s">
        <v>13</v>
      </c>
      <c r="B6" s="1" t="s">
        <v>18</v>
      </c>
      <c r="C6" s="1">
        <v>1.0</v>
      </c>
      <c r="D6" s="1">
        <v>55.0</v>
      </c>
      <c r="E6" s="1">
        <v>55.0</v>
      </c>
      <c r="F6" s="1" t="s">
        <v>15</v>
      </c>
      <c r="G6" s="1">
        <v>180.0</v>
      </c>
      <c r="H6" s="2"/>
    </row>
    <row r="7">
      <c r="A7" s="1" t="s">
        <v>19</v>
      </c>
      <c r="B7" s="1" t="s">
        <v>20</v>
      </c>
      <c r="C7" s="1">
        <v>2.0</v>
      </c>
      <c r="D7" s="1">
        <v>52.4</v>
      </c>
      <c r="E7" s="1">
        <v>104.8</v>
      </c>
      <c r="F7" s="1" t="s">
        <v>21</v>
      </c>
      <c r="G7" s="1">
        <f>84.99*2</f>
        <v>169.98</v>
      </c>
      <c r="H7" s="2"/>
    </row>
    <row r="8">
      <c r="A8" s="1" t="s">
        <v>19</v>
      </c>
      <c r="B8" s="1" t="s">
        <v>22</v>
      </c>
      <c r="C8" s="1">
        <v>4.0</v>
      </c>
      <c r="D8" s="1">
        <v>9.0</v>
      </c>
      <c r="E8" s="1">
        <v>36.0</v>
      </c>
      <c r="F8" s="1" t="s">
        <v>23</v>
      </c>
      <c r="G8" s="3">
        <f>41.99 *4</f>
        <v>167.96</v>
      </c>
      <c r="H8" s="2"/>
    </row>
    <row r="9">
      <c r="A9" s="1" t="s">
        <v>24</v>
      </c>
      <c r="B9" s="1" t="s">
        <v>25</v>
      </c>
      <c r="C9" s="1">
        <v>2.0</v>
      </c>
      <c r="D9" s="1">
        <v>9.6</v>
      </c>
      <c r="E9" s="1">
        <v>19.2</v>
      </c>
      <c r="F9" s="1" t="s">
        <v>26</v>
      </c>
      <c r="G9" s="3">
        <f>14.99*2</f>
        <v>29.98</v>
      </c>
      <c r="H9" s="2"/>
    </row>
    <row r="10">
      <c r="A10" s="1" t="s">
        <v>24</v>
      </c>
      <c r="B10" s="1" t="s">
        <v>27</v>
      </c>
      <c r="C10" s="1">
        <v>2.0</v>
      </c>
      <c r="D10" s="1">
        <v>1.2</v>
      </c>
      <c r="E10" s="1">
        <v>2.4</v>
      </c>
      <c r="F10" s="1" t="s">
        <v>17</v>
      </c>
      <c r="G10" s="3">
        <f>5.99*2</f>
        <v>11.98</v>
      </c>
      <c r="H10" s="4"/>
    </row>
    <row r="11">
      <c r="A11" s="1" t="s">
        <v>24</v>
      </c>
      <c r="B11" s="1" t="s">
        <v>28</v>
      </c>
      <c r="C11" s="1">
        <v>2.0</v>
      </c>
      <c r="D11" s="1">
        <v>5.0</v>
      </c>
      <c r="E11" s="1">
        <v>10.0</v>
      </c>
      <c r="F11" s="1" t="s">
        <v>26</v>
      </c>
      <c r="G11" s="1">
        <f>13.99*2</f>
        <v>27.98</v>
      </c>
      <c r="H11" s="4"/>
    </row>
    <row r="12">
      <c r="A12" s="1" t="s">
        <v>29</v>
      </c>
      <c r="B12" s="1" t="s">
        <v>30</v>
      </c>
      <c r="C12" s="1">
        <v>1.0</v>
      </c>
      <c r="D12" s="1">
        <v>34.6</v>
      </c>
      <c r="E12" s="1">
        <v>34.6</v>
      </c>
      <c r="F12" s="1" t="s">
        <v>31</v>
      </c>
      <c r="G12" s="1">
        <v>165.99</v>
      </c>
      <c r="H12" s="2"/>
    </row>
    <row r="13">
      <c r="A13" s="1" t="s">
        <v>29</v>
      </c>
      <c r="B13" s="1" t="s">
        <v>32</v>
      </c>
      <c r="C13" s="1">
        <v>1.0</v>
      </c>
      <c r="D13" s="1">
        <v>67.0</v>
      </c>
      <c r="E13" s="1">
        <v>67.0</v>
      </c>
      <c r="F13" s="1" t="s">
        <v>33</v>
      </c>
      <c r="G13" s="1">
        <v>58.99</v>
      </c>
      <c r="H13" s="2"/>
    </row>
    <row r="14">
      <c r="A14" s="1" t="s">
        <v>34</v>
      </c>
      <c r="B14" s="1" t="s">
        <v>35</v>
      </c>
      <c r="C14" s="1">
        <v>1.0</v>
      </c>
      <c r="D14" s="1">
        <v>14.0</v>
      </c>
      <c r="E14" s="1">
        <v>14.0</v>
      </c>
      <c r="F14" s="1" t="s">
        <v>36</v>
      </c>
      <c r="G14" s="1">
        <v>38.99</v>
      </c>
      <c r="H14" s="4"/>
    </row>
    <row r="15">
      <c r="A15" s="1" t="s">
        <v>34</v>
      </c>
      <c r="B15" s="1" t="s">
        <v>37</v>
      </c>
      <c r="C15" s="1">
        <v>1.0</v>
      </c>
      <c r="D15" s="1">
        <v>10.0</v>
      </c>
      <c r="E15" s="1">
        <v>10.0</v>
      </c>
      <c r="F15" s="1" t="s">
        <v>38</v>
      </c>
      <c r="G15" s="1">
        <v>36.82</v>
      </c>
      <c r="H15" s="2"/>
    </row>
    <row r="16">
      <c r="D16" s="1" t="s">
        <v>39</v>
      </c>
      <c r="E16" s="5">
        <f>SUM(E2:E15)</f>
        <v>1371.8</v>
      </c>
    </row>
    <row r="17">
      <c r="A17" s="1" t="s">
        <v>40</v>
      </c>
      <c r="B17" s="1" t="s">
        <v>41</v>
      </c>
      <c r="C17" s="1">
        <v>1.0</v>
      </c>
      <c r="G17" s="1">
        <v>379.0</v>
      </c>
    </row>
    <row r="18">
      <c r="A18" s="1" t="s">
        <v>40</v>
      </c>
      <c r="B18" s="1" t="s">
        <v>42</v>
      </c>
      <c r="C18" s="1">
        <v>1.0</v>
      </c>
      <c r="G18" s="1">
        <v>29.99</v>
      </c>
    </row>
    <row r="19">
      <c r="A19" s="1" t="s">
        <v>40</v>
      </c>
      <c r="B19" s="1" t="s">
        <v>43</v>
      </c>
      <c r="C19" s="1">
        <v>1.0</v>
      </c>
      <c r="G19" s="1">
        <v>10.0</v>
      </c>
    </row>
    <row r="20">
      <c r="A20" s="1" t="s">
        <v>44</v>
      </c>
      <c r="B20" s="1" t="s">
        <v>45</v>
      </c>
      <c r="C20" s="1">
        <v>4.0</v>
      </c>
      <c r="G20" s="3">
        <f>22.99*4</f>
        <v>91.96</v>
      </c>
    </row>
    <row r="21">
      <c r="A21" s="1" t="s">
        <v>44</v>
      </c>
      <c r="B21" s="1" t="s">
        <v>46</v>
      </c>
      <c r="C21" s="1">
        <v>1.0</v>
      </c>
      <c r="G21" s="1">
        <v>20.0</v>
      </c>
    </row>
    <row r="22">
      <c r="F22" s="1" t="s">
        <v>47</v>
      </c>
      <c r="G22" s="6">
        <f>sum(G2:G21)</f>
        <v>2043.6</v>
      </c>
    </row>
  </sheetData>
  <drawing r:id="rId1"/>
</worksheet>
</file>